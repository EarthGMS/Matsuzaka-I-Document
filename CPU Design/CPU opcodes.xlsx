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94" yWindow="609" windowWidth="21223" windowHeight="9437"/>
  </bookViews>
  <sheets>
    <sheet name="Matsusembly instructions" sheetId="1" r:id="rId1"/>
  </sheets>
  <calcPr calcId="125725"/>
</workbook>
</file>

<file path=xl/calcChain.xml><?xml version="1.0" encoding="utf-8"?>
<calcChain xmlns="http://schemas.openxmlformats.org/spreadsheetml/2006/main">
  <c r="S33" i="1"/>
  <c r="S29"/>
  <c r="S25"/>
  <c r="S21"/>
  <c r="S17"/>
  <c r="S13"/>
  <c r="S9"/>
  <c r="S5"/>
  <c r="S30"/>
  <c r="S26"/>
  <c r="S22"/>
  <c r="S18"/>
  <c r="S14"/>
  <c r="S10"/>
  <c r="S6"/>
  <c r="S31"/>
  <c r="S27"/>
  <c r="S19"/>
  <c r="S15"/>
  <c r="S11"/>
  <c r="S7"/>
  <c r="S32"/>
  <c r="S28"/>
  <c r="S20"/>
  <c r="S16"/>
  <c r="S12"/>
  <c r="S34"/>
  <c r="S35"/>
  <c r="S23"/>
  <c r="S8"/>
  <c r="S36"/>
  <c r="S24"/>
</calcChain>
</file>

<file path=xl/sharedStrings.xml><?xml version="1.0" encoding="utf-8"?>
<sst xmlns="http://schemas.openxmlformats.org/spreadsheetml/2006/main" count="377" uniqueCount="102">
  <si>
    <t>THE MATSUSEMBLY FUNCTION TYPES</t>
  </si>
  <si>
    <t>Func. group</t>
  </si>
  <si>
    <t>Reg amount</t>
  </si>
  <si>
    <t>No register?</t>
  </si>
  <si>
    <t>Specific func.</t>
  </si>
  <si>
    <t>Register A</t>
  </si>
  <si>
    <t>Register B</t>
  </si>
  <si>
    <t>Meaning</t>
  </si>
  <si>
    <t>Function type/Bit</t>
  </si>
  <si>
    <t>bit 15 (MSB)</t>
  </si>
  <si>
    <t>bit 14</t>
  </si>
  <si>
    <t>bit 13</t>
  </si>
  <si>
    <t>bit 12</t>
  </si>
  <si>
    <t>bit 11</t>
  </si>
  <si>
    <t>bit 10</t>
  </si>
  <si>
    <t>bit 09</t>
  </si>
  <si>
    <t>bit 08</t>
  </si>
  <si>
    <t>bit 07</t>
  </si>
  <si>
    <t>bit 06</t>
  </si>
  <si>
    <t>bit 05</t>
  </si>
  <si>
    <t>bit 04</t>
  </si>
  <si>
    <t>bit 03</t>
  </si>
  <si>
    <t>bit 02</t>
  </si>
  <si>
    <t>bit 01</t>
  </si>
  <si>
    <t>bit 00</t>
  </si>
  <si>
    <t>Full instruction</t>
  </si>
  <si>
    <t>ALU?</t>
  </si>
  <si>
    <t>(Arithmetic &amp; logic)</t>
  </si>
  <si>
    <t>Logic AND for all bits of Reg A and B</t>
  </si>
  <si>
    <r>
      <rPr>
        <sz val="10"/>
        <color theme="1"/>
        <rFont val="Arial"/>
      </rPr>
      <t xml:space="preserve">AND </t>
    </r>
    <r>
      <rPr>
        <b/>
        <sz val="10"/>
        <color theme="1"/>
        <rFont val="Arial"/>
      </rPr>
      <t>Ra</t>
    </r>
    <r>
      <rPr>
        <sz val="10"/>
        <color theme="1"/>
        <rFont val="Arial"/>
      </rPr>
      <t xml:space="preserve">, </t>
    </r>
    <r>
      <rPr>
        <b/>
        <sz val="10"/>
        <color theme="1"/>
        <rFont val="Arial"/>
      </rPr>
      <t>Rb</t>
    </r>
  </si>
  <si>
    <t>a</t>
  </si>
  <si>
    <t>b</t>
  </si>
  <si>
    <t>Yes</t>
  </si>
  <si>
    <t>Logic OR for all bits of Reg A and B</t>
  </si>
  <si>
    <r>
      <rPr>
        <sz val="10"/>
        <color theme="1"/>
        <rFont val="Arial"/>
      </rPr>
      <t xml:space="preserve">OR </t>
    </r>
    <r>
      <rPr>
        <b/>
        <sz val="10"/>
        <color theme="1"/>
        <rFont val="Arial"/>
      </rPr>
      <t>Ra</t>
    </r>
    <r>
      <rPr>
        <sz val="10"/>
        <color theme="1"/>
        <rFont val="Arial"/>
      </rPr>
      <t xml:space="preserve">, </t>
    </r>
    <r>
      <rPr>
        <b/>
        <sz val="10"/>
        <color theme="1"/>
        <rFont val="Arial"/>
      </rPr>
      <t>Rb</t>
    </r>
  </si>
  <si>
    <t>Invert all bits of Reg A</t>
  </si>
  <si>
    <r>
      <rPr>
        <sz val="10"/>
        <color theme="1"/>
        <rFont val="Arial"/>
      </rPr>
      <t xml:space="preserve">NOT </t>
    </r>
    <r>
      <rPr>
        <b/>
        <sz val="10"/>
        <color theme="1"/>
        <rFont val="Arial"/>
      </rPr>
      <t>Ra</t>
    </r>
  </si>
  <si>
    <t>x</t>
  </si>
  <si>
    <t>Reg A + Reg B</t>
  </si>
  <si>
    <r>
      <rPr>
        <sz val="10"/>
        <color theme="1"/>
        <rFont val="Arial"/>
      </rPr>
      <t xml:space="preserve">ADD </t>
    </r>
    <r>
      <rPr>
        <b/>
        <sz val="10"/>
        <color theme="1"/>
        <rFont val="Arial"/>
      </rPr>
      <t>Ra</t>
    </r>
    <r>
      <rPr>
        <sz val="10"/>
        <color theme="1"/>
        <rFont val="Arial"/>
      </rPr>
      <t xml:space="preserve">, </t>
    </r>
    <r>
      <rPr>
        <b/>
        <sz val="10"/>
        <color theme="1"/>
        <rFont val="Arial"/>
      </rPr>
      <t>Rb</t>
    </r>
  </si>
  <si>
    <t>Reg A - Reg B</t>
  </si>
  <si>
    <r>
      <rPr>
        <sz val="10"/>
        <color theme="1"/>
        <rFont val="Arial"/>
      </rPr>
      <t xml:space="preserve">SUB </t>
    </r>
    <r>
      <rPr>
        <b/>
        <sz val="10"/>
        <color theme="1"/>
        <rFont val="Arial"/>
      </rPr>
      <t>Ra</t>
    </r>
    <r>
      <rPr>
        <sz val="10"/>
        <color theme="1"/>
        <rFont val="Arial"/>
      </rPr>
      <t xml:space="preserve">, </t>
    </r>
    <r>
      <rPr>
        <b/>
        <sz val="10"/>
        <color theme="1"/>
        <rFont val="Arial"/>
      </rPr>
      <t>Rb</t>
    </r>
  </si>
  <si>
    <t>Logic XOR for all bits of Reg A and B</t>
  </si>
  <si>
    <r>
      <rPr>
        <sz val="10"/>
        <color theme="1"/>
        <rFont val="Arial"/>
      </rPr>
      <t xml:space="preserve">XOR </t>
    </r>
    <r>
      <rPr>
        <b/>
        <sz val="10"/>
        <color theme="1"/>
        <rFont val="Arial"/>
      </rPr>
      <t>Ra</t>
    </r>
    <r>
      <rPr>
        <sz val="10"/>
        <color theme="1"/>
        <rFont val="Arial"/>
      </rPr>
      <t xml:space="preserve">, </t>
    </r>
    <r>
      <rPr>
        <b/>
        <sz val="10"/>
        <color theme="1"/>
        <rFont val="Arial"/>
      </rPr>
      <t>Rb</t>
    </r>
  </si>
  <si>
    <t>(Jump)</t>
  </si>
  <si>
    <t>Jump to address when equal to specified value</t>
  </si>
  <si>
    <r>
      <rPr>
        <sz val="10"/>
        <color theme="1"/>
        <rFont val="Arial"/>
      </rPr>
      <t>JEQ [</t>
    </r>
    <r>
      <rPr>
        <b/>
        <sz val="10"/>
        <color theme="1"/>
        <rFont val="Arial"/>
      </rPr>
      <t>address</t>
    </r>
    <r>
      <rPr>
        <sz val="10"/>
        <color theme="1"/>
        <rFont val="Arial"/>
      </rPr>
      <t>]</t>
    </r>
  </si>
  <si>
    <t>No</t>
  </si>
  <si>
    <t>Jump to address when less than specified value</t>
  </si>
  <si>
    <r>
      <rPr>
        <sz val="10"/>
        <color theme="1"/>
        <rFont val="Arial"/>
      </rPr>
      <t>JLT [</t>
    </r>
    <r>
      <rPr>
        <b/>
        <sz val="10"/>
        <color theme="1"/>
        <rFont val="Arial"/>
      </rPr>
      <t>address</t>
    </r>
    <r>
      <rPr>
        <sz val="10"/>
        <color theme="1"/>
        <rFont val="Arial"/>
      </rPr>
      <t>]</t>
    </r>
  </si>
  <si>
    <t>Jump to address when more than specified value</t>
  </si>
  <si>
    <r>
      <rPr>
        <sz val="10"/>
        <color theme="1"/>
        <rFont val="Arial"/>
      </rPr>
      <t>JGT [</t>
    </r>
    <r>
      <rPr>
        <b/>
        <sz val="10"/>
        <color theme="1"/>
        <rFont val="Arial"/>
      </rPr>
      <t>address</t>
    </r>
    <r>
      <rPr>
        <sz val="10"/>
        <color theme="1"/>
        <rFont val="Arial"/>
      </rPr>
      <t>]</t>
    </r>
  </si>
  <si>
    <t>Jump to (no condition)</t>
  </si>
  <si>
    <r>
      <rPr>
        <sz val="10"/>
        <color theme="1"/>
        <rFont val="Arial"/>
      </rPr>
      <t>JMP [</t>
    </r>
    <r>
      <rPr>
        <b/>
        <sz val="10"/>
        <color theme="1"/>
        <rFont val="Arial"/>
      </rPr>
      <t>address</t>
    </r>
    <r>
      <rPr>
        <sz val="10"/>
        <color theme="1"/>
        <rFont val="Arial"/>
      </rPr>
      <t>]</t>
    </r>
  </si>
  <si>
    <t>Jump to address when more than or equal to specific val.</t>
  </si>
  <si>
    <r>
      <rPr>
        <sz val="10"/>
        <color theme="1"/>
        <rFont val="Arial"/>
      </rPr>
      <t>JGE [</t>
    </r>
    <r>
      <rPr>
        <b/>
        <sz val="10"/>
        <color theme="1"/>
        <rFont val="Arial"/>
      </rPr>
      <t>address</t>
    </r>
    <r>
      <rPr>
        <sz val="10"/>
        <color theme="1"/>
        <rFont val="Arial"/>
      </rPr>
      <t>]</t>
    </r>
  </si>
  <si>
    <t>Jump to address when less than or equal to specific val.</t>
  </si>
  <si>
    <r>
      <rPr>
        <sz val="10"/>
        <color theme="1"/>
        <rFont val="Arial"/>
      </rPr>
      <t>JLE [</t>
    </r>
    <r>
      <rPr>
        <b/>
        <sz val="10"/>
        <color theme="1"/>
        <rFont val="Arial"/>
      </rPr>
      <t>address</t>
    </r>
    <r>
      <rPr>
        <sz val="10"/>
        <color theme="1"/>
        <rFont val="Arial"/>
      </rPr>
      <t>]</t>
    </r>
  </si>
  <si>
    <t>Jump when the ALU's result is overflowed</t>
  </si>
  <si>
    <r>
      <rPr>
        <sz val="10"/>
        <color theme="1"/>
        <rFont val="Arial"/>
      </rPr>
      <t>JOF [</t>
    </r>
    <r>
      <rPr>
        <b/>
        <sz val="10"/>
        <color theme="1"/>
        <rFont val="Arial"/>
      </rPr>
      <t>address</t>
    </r>
    <r>
      <rPr>
        <sz val="10"/>
        <color theme="1"/>
        <rFont val="Arial"/>
      </rPr>
      <t>]</t>
    </r>
  </si>
  <si>
    <t>Jump when the ALU's result is underflowed</t>
  </si>
  <si>
    <r>
      <rPr>
        <sz val="10"/>
        <color theme="1"/>
        <rFont val="Arial"/>
      </rPr>
      <t>JUF [</t>
    </r>
    <r>
      <rPr>
        <b/>
        <sz val="10"/>
        <color theme="1"/>
        <rFont val="Arial"/>
      </rPr>
      <t>address</t>
    </r>
    <r>
      <rPr>
        <sz val="10"/>
        <color theme="1"/>
        <rFont val="Arial"/>
      </rPr>
      <t>]</t>
    </r>
  </si>
  <si>
    <t>Jump when the ALU's &lt;flag&gt; result is zero</t>
  </si>
  <si>
    <r>
      <rPr>
        <sz val="10"/>
        <color theme="1"/>
        <rFont val="Arial"/>
      </rPr>
      <t>JZ &lt;flag&gt; [</t>
    </r>
    <r>
      <rPr>
        <b/>
        <sz val="10"/>
        <color theme="1"/>
        <rFont val="Arial"/>
      </rPr>
      <t>address</t>
    </r>
    <r>
      <rPr>
        <sz val="10"/>
        <color theme="1"/>
        <rFont val="Arial"/>
      </rPr>
      <t>]</t>
    </r>
  </si>
  <si>
    <t>Jump when the ALU's &lt;flag&gt; result is not zero</t>
  </si>
  <si>
    <r>
      <rPr>
        <sz val="10"/>
        <color theme="1"/>
        <rFont val="Arial"/>
      </rPr>
      <t>JNZ &lt;flag&gt; [</t>
    </r>
    <r>
      <rPr>
        <b/>
        <sz val="10"/>
        <color theme="1"/>
        <rFont val="Arial"/>
      </rPr>
      <t>address</t>
    </r>
    <r>
      <rPr>
        <sz val="10"/>
        <color theme="1"/>
        <rFont val="Arial"/>
      </rPr>
      <t>]</t>
    </r>
  </si>
  <si>
    <t>(Memory)</t>
  </si>
  <si>
    <t>Copy value to another register</t>
  </si>
  <si>
    <r>
      <rPr>
        <sz val="10"/>
        <color theme="1"/>
        <rFont val="Arial"/>
      </rPr>
      <t xml:space="preserve">CPY </t>
    </r>
    <r>
      <rPr>
        <b/>
        <sz val="10"/>
        <color theme="1"/>
        <rFont val="Arial"/>
      </rPr>
      <t>Ra</t>
    </r>
    <r>
      <rPr>
        <sz val="10"/>
        <color theme="1"/>
        <rFont val="Arial"/>
      </rPr>
      <t xml:space="preserve">, </t>
    </r>
    <r>
      <rPr>
        <b/>
        <sz val="10"/>
        <color theme="1"/>
        <rFont val="Arial"/>
      </rPr>
      <t>Rb</t>
    </r>
  </si>
  <si>
    <t>Load immediate number</t>
  </si>
  <si>
    <r>
      <rPr>
        <sz val="10"/>
        <color theme="1"/>
        <rFont val="Arial"/>
      </rPr>
      <t xml:space="preserve">LIM </t>
    </r>
    <r>
      <rPr>
        <b/>
        <sz val="10"/>
        <color theme="1"/>
        <rFont val="Arial"/>
      </rPr>
      <t>Ra</t>
    </r>
    <r>
      <rPr>
        <sz val="10"/>
        <color theme="1"/>
        <rFont val="Arial"/>
      </rPr>
      <t xml:space="preserve">, </t>
    </r>
    <r>
      <rPr>
        <b/>
        <sz val="10"/>
        <color theme="1"/>
        <rFont val="Arial"/>
      </rPr>
      <t>value</t>
    </r>
  </si>
  <si>
    <t>Increment value in register</t>
  </si>
  <si>
    <r>
      <rPr>
        <sz val="10"/>
        <color theme="1"/>
        <rFont val="Arial"/>
      </rPr>
      <t xml:space="preserve">INC </t>
    </r>
    <r>
      <rPr>
        <b/>
        <sz val="10"/>
        <color theme="1"/>
        <rFont val="Arial"/>
      </rPr>
      <t>Ra</t>
    </r>
  </si>
  <si>
    <t>Decrement value in register</t>
  </si>
  <si>
    <r>
      <rPr>
        <sz val="10"/>
        <color theme="1"/>
        <rFont val="Arial"/>
      </rPr>
      <t xml:space="preserve">DEC </t>
    </r>
    <r>
      <rPr>
        <b/>
        <sz val="10"/>
        <color theme="1"/>
        <rFont val="Arial"/>
      </rPr>
      <t>Ra</t>
    </r>
  </si>
  <si>
    <t>Return SP value to the counter</t>
  </si>
  <si>
    <t>RET</t>
  </si>
  <si>
    <t>Push address value to the counter</t>
  </si>
  <si>
    <r>
      <rPr>
        <sz val="10"/>
        <color theme="1"/>
        <rFont val="Arial"/>
      </rPr>
      <t xml:space="preserve">CALL </t>
    </r>
    <r>
      <rPr>
        <b/>
        <sz val="10"/>
        <color theme="1"/>
        <rFont val="Arial"/>
      </rPr>
      <t>Ra</t>
    </r>
  </si>
  <si>
    <t>Push - increase SP address</t>
  </si>
  <si>
    <r>
      <rPr>
        <sz val="10"/>
        <color theme="1"/>
        <rFont val="Arial"/>
      </rPr>
      <t xml:space="preserve">PUSH </t>
    </r>
    <r>
      <rPr>
        <b/>
        <sz val="10"/>
        <color theme="1"/>
        <rFont val="Arial"/>
      </rPr>
      <t>Ra</t>
    </r>
  </si>
  <si>
    <t>Store data from the register to a specified address</t>
  </si>
  <si>
    <r>
      <rPr>
        <sz val="10"/>
        <color theme="1"/>
        <rFont val="Arial"/>
      </rPr>
      <t xml:space="preserve">STORE </t>
    </r>
    <r>
      <rPr>
        <b/>
        <sz val="10"/>
        <color theme="1"/>
        <rFont val="Arial"/>
      </rPr>
      <t>Ra</t>
    </r>
    <r>
      <rPr>
        <sz val="10"/>
        <color theme="1"/>
        <rFont val="Arial"/>
      </rPr>
      <t>, [</t>
    </r>
    <r>
      <rPr>
        <b/>
        <sz val="10"/>
        <color theme="1"/>
        <rFont val="Arial"/>
      </rPr>
      <t>address</t>
    </r>
    <r>
      <rPr>
        <sz val="10"/>
        <color theme="1"/>
        <rFont val="Arial"/>
      </rPr>
      <t>]</t>
    </r>
  </si>
  <si>
    <t>Load data from a specified address to the register</t>
  </si>
  <si>
    <r>
      <rPr>
        <sz val="10"/>
        <color theme="1"/>
        <rFont val="Arial"/>
      </rPr>
      <t xml:space="preserve">LOAD </t>
    </r>
    <r>
      <rPr>
        <b/>
        <sz val="10"/>
        <color theme="1"/>
        <rFont val="Arial"/>
      </rPr>
      <t>Ra</t>
    </r>
    <r>
      <rPr>
        <sz val="10"/>
        <color theme="1"/>
        <rFont val="Arial"/>
      </rPr>
      <t>, [</t>
    </r>
    <r>
      <rPr>
        <b/>
        <sz val="10"/>
        <color theme="1"/>
        <rFont val="Arial"/>
      </rPr>
      <t>address</t>
    </r>
    <r>
      <rPr>
        <sz val="10"/>
        <color theme="1"/>
        <rFont val="Arial"/>
      </rPr>
      <t>]</t>
    </r>
  </si>
  <si>
    <t>Pop - decrease SP address</t>
  </si>
  <si>
    <r>
      <rPr>
        <sz val="10"/>
        <color theme="1"/>
        <rFont val="Arial"/>
      </rPr>
      <t xml:space="preserve">POP </t>
    </r>
    <r>
      <rPr>
        <b/>
        <sz val="10"/>
        <color theme="1"/>
        <rFont val="Arial"/>
      </rPr>
      <t>Ra</t>
    </r>
  </si>
  <si>
    <t>Skip operation</t>
  </si>
  <si>
    <t>NOP</t>
  </si>
  <si>
    <t>Input data into the ALU (debugging mode)</t>
  </si>
  <si>
    <r>
      <rPr>
        <sz val="10"/>
        <color theme="1"/>
        <rFont val="Arial"/>
      </rPr>
      <t xml:space="preserve">IN </t>
    </r>
    <r>
      <rPr>
        <b/>
        <sz val="10"/>
        <color theme="1"/>
        <rFont val="Arial"/>
      </rPr>
      <t>Ra</t>
    </r>
    <r>
      <rPr>
        <sz val="10"/>
        <color theme="1"/>
        <rFont val="Arial"/>
      </rPr>
      <t xml:space="preserve">, </t>
    </r>
    <r>
      <rPr>
        <b/>
        <sz val="10"/>
        <color theme="1"/>
        <rFont val="Arial"/>
      </rPr>
      <t>Rb</t>
    </r>
  </si>
  <si>
    <t>What does Ra and Rb do in IN/OUT in this case?</t>
  </si>
  <si>
    <t>Output data from the ALU (debugging mode)</t>
  </si>
  <si>
    <r>
      <rPr>
        <sz val="10"/>
        <color theme="1"/>
        <rFont val="Arial"/>
      </rPr>
      <t xml:space="preserve">OUT </t>
    </r>
    <r>
      <rPr>
        <b/>
        <sz val="10"/>
        <color theme="1"/>
        <rFont val="Arial"/>
      </rPr>
      <t>Ra</t>
    </r>
    <r>
      <rPr>
        <sz val="10"/>
        <color theme="1"/>
        <rFont val="Arial"/>
      </rPr>
      <t xml:space="preserve">, </t>
    </r>
    <r>
      <rPr>
        <b/>
        <sz val="10"/>
        <color theme="1"/>
        <rFont val="Arial"/>
      </rPr>
      <t>Rb</t>
    </r>
  </si>
  <si>
    <t>Ra = port number</t>
  </si>
  <si>
    <t>Compare register A and B</t>
  </si>
  <si>
    <r>
      <rPr>
        <sz val="10"/>
        <color theme="1"/>
        <rFont val="Arial"/>
      </rPr>
      <t xml:space="preserve">CMP </t>
    </r>
    <r>
      <rPr>
        <b/>
        <sz val="10"/>
        <color theme="1"/>
        <rFont val="Arial"/>
      </rPr>
      <t>Ra</t>
    </r>
    <r>
      <rPr>
        <sz val="10"/>
        <color theme="1"/>
        <rFont val="Arial"/>
      </rPr>
      <t xml:space="preserve">, </t>
    </r>
    <r>
      <rPr>
        <b/>
        <sz val="10"/>
        <color theme="1"/>
        <rFont val="Arial"/>
      </rPr>
      <t>Rb</t>
    </r>
  </si>
  <si>
    <t>Rb = port value</t>
  </si>
  <si>
    <t>How does jump instruction works?</t>
  </si>
  <si>
    <t>For most jump instructions, it'll have one variable:</t>
  </si>
  <si>
    <t>1. [address] the address which the counter will be set on when initiate jump</t>
  </si>
  <si>
    <t>x = don't care</t>
  </si>
</sst>
</file>

<file path=xl/styles.xml><?xml version="1.0" encoding="utf-8"?>
<styleSheet xmlns="http://schemas.openxmlformats.org/spreadsheetml/2006/main"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</fonts>
  <fills count="13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2" borderId="1" xfId="0" applyFont="1" applyFill="1" applyBorder="1" applyAlignment="1"/>
    <xf numFmtId="0" fontId="1" fillId="3" borderId="1" xfId="0" applyFont="1" applyFill="1" applyBorder="1" applyAlignment="1">
      <alignment textRotation="90"/>
    </xf>
    <xf numFmtId="0" fontId="1" fillId="4" borderId="1" xfId="0" applyFont="1" applyFill="1" applyBorder="1" applyAlignment="1"/>
    <xf numFmtId="0" fontId="1" fillId="4" borderId="1" xfId="0" applyFont="1" applyFill="1" applyBorder="1" applyAlignment="1">
      <alignment textRotation="90"/>
    </xf>
    <xf numFmtId="0" fontId="1" fillId="5" borderId="1" xfId="0" applyFont="1" applyFill="1" applyBorder="1"/>
    <xf numFmtId="0" fontId="1" fillId="6" borderId="1" xfId="0" applyFont="1" applyFill="1" applyBorder="1" applyAlignment="1"/>
    <xf numFmtId="0" fontId="1" fillId="7" borderId="1" xfId="0" applyFont="1" applyFill="1" applyBorder="1" applyAlignment="1"/>
    <xf numFmtId="0" fontId="1" fillId="8" borderId="1" xfId="0" applyFont="1" applyFill="1" applyBorder="1" applyAlignment="1"/>
    <xf numFmtId="0" fontId="1" fillId="9" borderId="1" xfId="0" applyFont="1" applyFill="1" applyBorder="1" applyAlignment="1">
      <alignment horizontal="right"/>
    </xf>
    <xf numFmtId="0" fontId="1" fillId="10" borderId="1" xfId="0" applyFont="1" applyFill="1" applyBorder="1" applyAlignment="1">
      <alignment horizontal="right"/>
    </xf>
    <xf numFmtId="0" fontId="1" fillId="11" borderId="1" xfId="0" applyFont="1" applyFill="1" applyBorder="1" applyAlignment="1">
      <alignment horizontal="right"/>
    </xf>
    <xf numFmtId="0" fontId="1" fillId="8" borderId="1" xfId="0" applyFont="1" applyFill="1" applyBorder="1" applyAlignment="1">
      <alignment horizontal="right"/>
    </xf>
    <xf numFmtId="0" fontId="1" fillId="7" borderId="1" xfId="0" applyFont="1" applyFill="1" applyBorder="1" applyAlignment="1">
      <alignment horizontal="right"/>
    </xf>
    <xf numFmtId="0" fontId="1" fillId="12" borderId="1" xfId="0" applyFont="1" applyFill="1" applyBorder="1" applyAlignment="1">
      <alignment horizontal="right"/>
    </xf>
    <xf numFmtId="0" fontId="1" fillId="9" borderId="1" xfId="0" applyFont="1" applyFill="1" applyBorder="1" applyAlignment="1">
      <alignment horizontal="right"/>
    </xf>
    <xf numFmtId="0" fontId="1" fillId="5" borderId="1" xfId="0" applyFont="1" applyFill="1" applyBorder="1" applyAlignment="1">
      <alignment horizontal="right"/>
    </xf>
    <xf numFmtId="0" fontId="1" fillId="0" borderId="0" xfId="0" applyFont="1" applyAlignment="1"/>
    <xf numFmtId="0" fontId="1" fillId="1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V44"/>
  <sheetViews>
    <sheetView tabSelected="1" workbookViewId="0">
      <selection activeCell="V6" sqref="V6"/>
    </sheetView>
  </sheetViews>
  <sheetFormatPr defaultColWidth="12.61328125" defaultRowHeight="15.75" customHeight="1"/>
  <cols>
    <col min="1" max="1" width="44.4609375" customWidth="1"/>
    <col min="2" max="2" width="19.61328125" customWidth="1"/>
    <col min="3" max="18" width="3.23046875" customWidth="1"/>
    <col min="19" max="19" width="18.23046875" customWidth="1"/>
    <col min="20" max="20" width="5.84375" customWidth="1"/>
  </cols>
  <sheetData>
    <row r="1" spans="1:22" ht="15.75" customHeight="1">
      <c r="A1" s="1" t="s">
        <v>0</v>
      </c>
    </row>
    <row r="2" spans="1:22" ht="63">
      <c r="C2" s="2" t="s">
        <v>1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4</v>
      </c>
      <c r="I2" s="2" t="s">
        <v>4</v>
      </c>
      <c r="J2" s="2" t="s">
        <v>4</v>
      </c>
      <c r="K2" s="2" t="s">
        <v>5</v>
      </c>
      <c r="L2" s="2" t="s">
        <v>5</v>
      </c>
      <c r="M2" s="2" t="s">
        <v>5</v>
      </c>
      <c r="N2" s="2" t="s">
        <v>5</v>
      </c>
      <c r="O2" s="2" t="s">
        <v>6</v>
      </c>
      <c r="P2" s="2" t="s">
        <v>6</v>
      </c>
      <c r="Q2" s="2" t="s">
        <v>6</v>
      </c>
      <c r="R2" s="2" t="s">
        <v>6</v>
      </c>
    </row>
    <row r="3" spans="1:22" ht="58.75">
      <c r="A3" s="3" t="s">
        <v>7</v>
      </c>
      <c r="B3" s="3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14</v>
      </c>
      <c r="I3" s="4" t="s">
        <v>15</v>
      </c>
      <c r="J3" s="4" t="s">
        <v>16</v>
      </c>
      <c r="K3" s="4" t="s">
        <v>17</v>
      </c>
      <c r="L3" s="4" t="s">
        <v>18</v>
      </c>
      <c r="M3" s="4" t="s">
        <v>19</v>
      </c>
      <c r="N3" s="4" t="s">
        <v>20</v>
      </c>
      <c r="O3" s="4" t="s">
        <v>21</v>
      </c>
      <c r="P3" s="4" t="s">
        <v>22</v>
      </c>
      <c r="Q3" s="4" t="s">
        <v>23</v>
      </c>
      <c r="R3" s="4" t="s">
        <v>24</v>
      </c>
      <c r="S3" s="3" t="s">
        <v>25</v>
      </c>
      <c r="T3" s="3" t="s">
        <v>26</v>
      </c>
    </row>
    <row r="4" spans="1:22" ht="15.75" customHeight="1">
      <c r="A4" s="5"/>
      <c r="B4" s="6" t="s">
        <v>27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2" ht="15.75" customHeight="1">
      <c r="A5" s="7" t="s">
        <v>28</v>
      </c>
      <c r="B5" s="8" t="s">
        <v>29</v>
      </c>
      <c r="C5" s="9">
        <v>0</v>
      </c>
      <c r="D5" s="9">
        <v>1</v>
      </c>
      <c r="E5" s="10">
        <v>1</v>
      </c>
      <c r="F5" s="11">
        <v>0</v>
      </c>
      <c r="G5" s="12">
        <v>0</v>
      </c>
      <c r="H5" s="12">
        <v>0</v>
      </c>
      <c r="I5" s="12">
        <v>0</v>
      </c>
      <c r="J5" s="12">
        <v>0</v>
      </c>
      <c r="K5" s="13" t="s">
        <v>30</v>
      </c>
      <c r="L5" s="13" t="s">
        <v>30</v>
      </c>
      <c r="M5" s="13" t="s">
        <v>30</v>
      </c>
      <c r="N5" s="13" t="s">
        <v>30</v>
      </c>
      <c r="O5" s="14" t="s">
        <v>31</v>
      </c>
      <c r="P5" s="14" t="s">
        <v>31</v>
      </c>
      <c r="Q5" s="14" t="s">
        <v>31</v>
      </c>
      <c r="R5" s="14" t="s">
        <v>31</v>
      </c>
      <c r="S5" s="15" t="str">
        <f ca="1">IFERROR(__xludf.DUMMYFUNCTION("JOIN("""", C5:F5) &amp; "" "" &amp; JOIN("""", G5:J5) &amp; "" "" &amp; JOIN("""", K5:N5) &amp; "" "" &amp; JOIN("""", O5:R5)"),"0110 0000 aaaa bbbb")</f>
        <v>0110 0000 aaaa bbbb</v>
      </c>
      <c r="T5" s="9" t="s">
        <v>32</v>
      </c>
    </row>
    <row r="6" spans="1:22" ht="15.75" customHeight="1">
      <c r="A6" s="7" t="s">
        <v>33</v>
      </c>
      <c r="B6" s="8" t="s">
        <v>34</v>
      </c>
      <c r="C6" s="9">
        <v>0</v>
      </c>
      <c r="D6" s="9">
        <v>1</v>
      </c>
      <c r="E6" s="10">
        <v>1</v>
      </c>
      <c r="F6" s="11">
        <v>0</v>
      </c>
      <c r="G6" s="12">
        <v>0</v>
      </c>
      <c r="H6" s="12">
        <v>0</v>
      </c>
      <c r="I6" s="12">
        <v>0</v>
      </c>
      <c r="J6" s="12">
        <v>1</v>
      </c>
      <c r="K6" s="13" t="s">
        <v>30</v>
      </c>
      <c r="L6" s="13" t="s">
        <v>30</v>
      </c>
      <c r="M6" s="13" t="s">
        <v>30</v>
      </c>
      <c r="N6" s="13" t="s">
        <v>30</v>
      </c>
      <c r="O6" s="14" t="s">
        <v>31</v>
      </c>
      <c r="P6" s="14" t="s">
        <v>31</v>
      </c>
      <c r="Q6" s="14" t="s">
        <v>31</v>
      </c>
      <c r="R6" s="14" t="s">
        <v>31</v>
      </c>
      <c r="S6" s="15" t="str">
        <f ca="1">IFERROR(__xludf.DUMMYFUNCTION("JOIN("""", C6:F6) &amp; "" "" &amp; JOIN("""", G6:J6) &amp; "" "" &amp; JOIN("""", K6:N6) &amp; "" "" &amp; JOIN("""", O6:R6)"),"0110 0001 aaaa bbbb")</f>
        <v>0110 0001 aaaa bbbb</v>
      </c>
      <c r="T6" s="9" t="s">
        <v>32</v>
      </c>
    </row>
    <row r="7" spans="1:22" ht="15.75" customHeight="1">
      <c r="A7" s="7" t="s">
        <v>35</v>
      </c>
      <c r="B7" s="8" t="s">
        <v>36</v>
      </c>
      <c r="C7" s="9">
        <v>0</v>
      </c>
      <c r="D7" s="9">
        <v>1</v>
      </c>
      <c r="E7" s="10">
        <v>0</v>
      </c>
      <c r="F7" s="11">
        <v>0</v>
      </c>
      <c r="G7" s="12">
        <v>0</v>
      </c>
      <c r="H7" s="12">
        <v>0</v>
      </c>
      <c r="I7" s="12">
        <v>1</v>
      </c>
      <c r="J7" s="12">
        <v>0</v>
      </c>
      <c r="K7" s="13" t="s">
        <v>30</v>
      </c>
      <c r="L7" s="13" t="s">
        <v>30</v>
      </c>
      <c r="M7" s="13" t="s">
        <v>30</v>
      </c>
      <c r="N7" s="13" t="s">
        <v>30</v>
      </c>
      <c r="O7" s="14" t="s">
        <v>37</v>
      </c>
      <c r="P7" s="14" t="s">
        <v>37</v>
      </c>
      <c r="Q7" s="14" t="s">
        <v>37</v>
      </c>
      <c r="R7" s="14" t="s">
        <v>37</v>
      </c>
      <c r="S7" s="15" t="str">
        <f ca="1">IFERROR(__xludf.DUMMYFUNCTION("JOIN("""", C7:F7) &amp; "" "" &amp; JOIN("""", G7:J7) &amp; "" "" &amp; JOIN("""", K7:N7) &amp; "" "" &amp; JOIN("""", O7:R7)"),"0100 0010 aaaa xxxx")</f>
        <v>0100 0010 aaaa xxxx</v>
      </c>
      <c r="T7" s="9" t="s">
        <v>32</v>
      </c>
    </row>
    <row r="8" spans="1:22" ht="15.75" customHeight="1">
      <c r="A8" s="7" t="s">
        <v>38</v>
      </c>
      <c r="B8" s="8" t="s">
        <v>39</v>
      </c>
      <c r="C8" s="9">
        <v>0</v>
      </c>
      <c r="D8" s="9">
        <v>1</v>
      </c>
      <c r="E8" s="10">
        <v>1</v>
      </c>
      <c r="F8" s="11">
        <v>0</v>
      </c>
      <c r="G8" s="12">
        <v>0</v>
      </c>
      <c r="H8" s="12">
        <v>0</v>
      </c>
      <c r="I8" s="12">
        <v>1</v>
      </c>
      <c r="J8" s="12">
        <v>1</v>
      </c>
      <c r="K8" s="13" t="s">
        <v>30</v>
      </c>
      <c r="L8" s="13" t="s">
        <v>30</v>
      </c>
      <c r="M8" s="13" t="s">
        <v>30</v>
      </c>
      <c r="N8" s="13" t="s">
        <v>30</v>
      </c>
      <c r="O8" s="14" t="s">
        <v>31</v>
      </c>
      <c r="P8" s="14" t="s">
        <v>31</v>
      </c>
      <c r="Q8" s="14" t="s">
        <v>31</v>
      </c>
      <c r="R8" s="14" t="s">
        <v>31</v>
      </c>
      <c r="S8" s="15" t="str">
        <f ca="1">IFERROR(__xludf.DUMMYFUNCTION("JOIN("""", C8:F8) &amp; "" "" &amp; JOIN("""", G8:J8) &amp; "" "" &amp; JOIN("""", K8:N8) &amp; "" "" &amp; JOIN("""", O8:R8)"),"0110 0011 aaaa bbbb")</f>
        <v>0110 0011 aaaa bbbb</v>
      </c>
      <c r="T8" s="9" t="s">
        <v>32</v>
      </c>
    </row>
    <row r="9" spans="1:22" ht="15.75" customHeight="1">
      <c r="A9" s="7" t="s">
        <v>40</v>
      </c>
      <c r="B9" s="8" t="s">
        <v>41</v>
      </c>
      <c r="C9" s="9">
        <v>0</v>
      </c>
      <c r="D9" s="9">
        <v>1</v>
      </c>
      <c r="E9" s="10">
        <v>1</v>
      </c>
      <c r="F9" s="11">
        <v>0</v>
      </c>
      <c r="G9" s="12">
        <v>0</v>
      </c>
      <c r="H9" s="12">
        <v>1</v>
      </c>
      <c r="I9" s="12">
        <v>0</v>
      </c>
      <c r="J9" s="12">
        <v>0</v>
      </c>
      <c r="K9" s="13" t="s">
        <v>30</v>
      </c>
      <c r="L9" s="13" t="s">
        <v>30</v>
      </c>
      <c r="M9" s="13" t="s">
        <v>30</v>
      </c>
      <c r="N9" s="13" t="s">
        <v>30</v>
      </c>
      <c r="O9" s="14" t="s">
        <v>31</v>
      </c>
      <c r="P9" s="14" t="s">
        <v>31</v>
      </c>
      <c r="Q9" s="14" t="s">
        <v>31</v>
      </c>
      <c r="R9" s="14" t="s">
        <v>31</v>
      </c>
      <c r="S9" s="15" t="str">
        <f ca="1">IFERROR(__xludf.DUMMYFUNCTION("JOIN("""", C9:F9) &amp; "" "" &amp; JOIN("""", G9:J9) &amp; "" "" &amp; JOIN("""", K9:N9) &amp; "" "" &amp; JOIN("""", O9:R9)"),"0110 0100 aaaa bbbb")</f>
        <v>0110 0100 aaaa bbbb</v>
      </c>
      <c r="T9" s="9" t="s">
        <v>32</v>
      </c>
    </row>
    <row r="10" spans="1:22" ht="15.75" customHeight="1">
      <c r="A10" s="7" t="s">
        <v>42</v>
      </c>
      <c r="B10" s="8" t="s">
        <v>43</v>
      </c>
      <c r="C10" s="9">
        <v>0</v>
      </c>
      <c r="D10" s="9">
        <v>1</v>
      </c>
      <c r="E10" s="10">
        <v>1</v>
      </c>
      <c r="F10" s="11">
        <v>0</v>
      </c>
      <c r="G10" s="12">
        <v>0</v>
      </c>
      <c r="H10" s="12">
        <v>1</v>
      </c>
      <c r="I10" s="12">
        <v>0</v>
      </c>
      <c r="J10" s="12">
        <v>1</v>
      </c>
      <c r="K10" s="13" t="s">
        <v>30</v>
      </c>
      <c r="L10" s="13" t="s">
        <v>30</v>
      </c>
      <c r="M10" s="13" t="s">
        <v>30</v>
      </c>
      <c r="N10" s="13" t="s">
        <v>30</v>
      </c>
      <c r="O10" s="14" t="s">
        <v>31</v>
      </c>
      <c r="P10" s="14" t="s">
        <v>31</v>
      </c>
      <c r="Q10" s="14" t="s">
        <v>31</v>
      </c>
      <c r="R10" s="14" t="s">
        <v>31</v>
      </c>
      <c r="S10" s="15" t="str">
        <f ca="1">IFERROR(__xludf.DUMMYFUNCTION("JOIN("""", C10:F10) &amp; "" "" &amp; JOIN("""", G10:J10) &amp; "" "" &amp; JOIN("""", K10:N10) &amp; "" "" &amp; JOIN("""", O10:R10)"),"0110 0101 aaaa bbbb")</f>
        <v>0110 0101 aaaa bbbb</v>
      </c>
      <c r="T10" s="9" t="s">
        <v>32</v>
      </c>
    </row>
    <row r="11" spans="1:22" ht="15.75" customHeight="1">
      <c r="A11" s="5"/>
      <c r="B11" s="6" t="s">
        <v>44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 t="str">
        <f ca="1">IFERROR(__xludf.DUMMYFUNCTION("JOIN("""", C11:F11) &amp; "" "" &amp; JOIN("""", G11:J11) &amp; "" "" &amp; JOIN("""", K11:N11) &amp; "" "" &amp; JOIN("""", O11:R11)"),"   ")</f>
        <v xml:space="preserve">   </v>
      </c>
      <c r="T11" s="16"/>
    </row>
    <row r="12" spans="1:22" ht="15.75" customHeight="1">
      <c r="A12" s="7" t="s">
        <v>45</v>
      </c>
      <c r="B12" s="8" t="s">
        <v>46</v>
      </c>
      <c r="C12" s="9">
        <v>1</v>
      </c>
      <c r="D12" s="9">
        <v>0</v>
      </c>
      <c r="E12" s="10">
        <v>0</v>
      </c>
      <c r="F12" s="11">
        <v>1</v>
      </c>
      <c r="G12" s="12">
        <v>0</v>
      </c>
      <c r="H12" s="12">
        <v>0</v>
      </c>
      <c r="I12" s="12">
        <v>0</v>
      </c>
      <c r="J12" s="12">
        <v>0</v>
      </c>
      <c r="K12" s="13" t="s">
        <v>37</v>
      </c>
      <c r="L12" s="13" t="s">
        <v>37</v>
      </c>
      <c r="M12" s="13" t="s">
        <v>37</v>
      </c>
      <c r="N12" s="13" t="s">
        <v>37</v>
      </c>
      <c r="O12" s="14" t="s">
        <v>37</v>
      </c>
      <c r="P12" s="14" t="s">
        <v>37</v>
      </c>
      <c r="Q12" s="14" t="s">
        <v>37</v>
      </c>
      <c r="R12" s="14" t="s">
        <v>37</v>
      </c>
      <c r="S12" s="15" t="str">
        <f ca="1">IFERROR(__xludf.DUMMYFUNCTION("JOIN("""", C12:F12) &amp; "" "" &amp; JOIN("""", G12:J12) &amp; "" "" &amp; JOIN("""", K12:N12) &amp; "" "" &amp; JOIN("""", O12:R12)"),"1001 0000 xxxx xxxx")</f>
        <v>1001 0000 xxxx xxxx</v>
      </c>
      <c r="T12" s="9" t="s">
        <v>47</v>
      </c>
    </row>
    <row r="13" spans="1:22" ht="15.75" customHeight="1">
      <c r="A13" s="7" t="s">
        <v>48</v>
      </c>
      <c r="B13" s="8" t="s">
        <v>49</v>
      </c>
      <c r="C13" s="9">
        <v>1</v>
      </c>
      <c r="D13" s="9">
        <v>0</v>
      </c>
      <c r="E13" s="10">
        <v>0</v>
      </c>
      <c r="F13" s="11">
        <v>1</v>
      </c>
      <c r="G13" s="12">
        <v>0</v>
      </c>
      <c r="H13" s="12">
        <v>0</v>
      </c>
      <c r="I13" s="12">
        <v>0</v>
      </c>
      <c r="J13" s="12">
        <v>1</v>
      </c>
      <c r="K13" s="13" t="s">
        <v>37</v>
      </c>
      <c r="L13" s="13" t="s">
        <v>37</v>
      </c>
      <c r="M13" s="13" t="s">
        <v>37</v>
      </c>
      <c r="N13" s="13" t="s">
        <v>37</v>
      </c>
      <c r="O13" s="14" t="s">
        <v>37</v>
      </c>
      <c r="P13" s="14" t="s">
        <v>37</v>
      </c>
      <c r="Q13" s="14" t="s">
        <v>37</v>
      </c>
      <c r="R13" s="14" t="s">
        <v>37</v>
      </c>
      <c r="S13" s="15" t="str">
        <f ca="1">IFERROR(__xludf.DUMMYFUNCTION("JOIN("""", C13:F13) &amp; "" "" &amp; JOIN("""", G13:J13) &amp; "" "" &amp; JOIN("""", K13:N13) &amp; "" "" &amp; JOIN("""", O13:R13)"),"1001 0001 xxxx xxxx")</f>
        <v>1001 0001 xxxx xxxx</v>
      </c>
      <c r="T13" s="9" t="s">
        <v>47</v>
      </c>
    </row>
    <row r="14" spans="1:22" ht="15.75" customHeight="1">
      <c r="A14" s="7" t="s">
        <v>50</v>
      </c>
      <c r="B14" s="8" t="s">
        <v>51</v>
      </c>
      <c r="C14" s="9">
        <v>1</v>
      </c>
      <c r="D14" s="9">
        <v>0</v>
      </c>
      <c r="E14" s="10">
        <v>0</v>
      </c>
      <c r="F14" s="11">
        <v>1</v>
      </c>
      <c r="G14" s="12">
        <v>0</v>
      </c>
      <c r="H14" s="12">
        <v>0</v>
      </c>
      <c r="I14" s="12">
        <v>1</v>
      </c>
      <c r="J14" s="12">
        <v>0</v>
      </c>
      <c r="K14" s="13" t="s">
        <v>37</v>
      </c>
      <c r="L14" s="13" t="s">
        <v>37</v>
      </c>
      <c r="M14" s="13" t="s">
        <v>37</v>
      </c>
      <c r="N14" s="13" t="s">
        <v>37</v>
      </c>
      <c r="O14" s="14" t="s">
        <v>37</v>
      </c>
      <c r="P14" s="14" t="s">
        <v>37</v>
      </c>
      <c r="Q14" s="14" t="s">
        <v>37</v>
      </c>
      <c r="R14" s="14" t="s">
        <v>37</v>
      </c>
      <c r="S14" s="15" t="str">
        <f ca="1">IFERROR(__xludf.DUMMYFUNCTION("JOIN("""", C14:F14) &amp; "" "" &amp; JOIN("""", G14:J14) &amp; "" "" &amp; JOIN("""", K14:N14) &amp; "" "" &amp; JOIN("""", O14:R14)"),"1001 0010 xxxx xxxx")</f>
        <v>1001 0010 xxxx xxxx</v>
      </c>
      <c r="T14" s="9" t="s">
        <v>47</v>
      </c>
      <c r="V14" s="17"/>
    </row>
    <row r="15" spans="1:22" ht="15.75" customHeight="1">
      <c r="A15" s="7" t="s">
        <v>52</v>
      </c>
      <c r="B15" s="8" t="s">
        <v>53</v>
      </c>
      <c r="C15" s="9">
        <v>1</v>
      </c>
      <c r="D15" s="9">
        <v>0</v>
      </c>
      <c r="E15" s="10">
        <v>0</v>
      </c>
      <c r="F15" s="11">
        <v>1</v>
      </c>
      <c r="G15" s="12">
        <v>0</v>
      </c>
      <c r="H15" s="12">
        <v>0</v>
      </c>
      <c r="I15" s="12">
        <v>1</v>
      </c>
      <c r="J15" s="12">
        <v>1</v>
      </c>
      <c r="K15" s="13" t="s">
        <v>37</v>
      </c>
      <c r="L15" s="13" t="s">
        <v>37</v>
      </c>
      <c r="M15" s="13" t="s">
        <v>37</v>
      </c>
      <c r="N15" s="13" t="s">
        <v>37</v>
      </c>
      <c r="O15" s="14" t="s">
        <v>37</v>
      </c>
      <c r="P15" s="14" t="s">
        <v>37</v>
      </c>
      <c r="Q15" s="14" t="s">
        <v>37</v>
      </c>
      <c r="R15" s="14" t="s">
        <v>37</v>
      </c>
      <c r="S15" s="15" t="str">
        <f ca="1">IFERROR(__xludf.DUMMYFUNCTION("JOIN("""", C15:F15) &amp; "" "" &amp; JOIN("""", G15:J15) &amp; "" "" &amp; JOIN("""", K15:N15) &amp; "" "" &amp; JOIN("""", O15:R15)"),"1001 0011 xxxx xxxx")</f>
        <v>1001 0011 xxxx xxxx</v>
      </c>
      <c r="T15" s="9" t="s">
        <v>47</v>
      </c>
    </row>
    <row r="16" spans="1:22" ht="15.75" customHeight="1">
      <c r="A16" s="7" t="s">
        <v>54</v>
      </c>
      <c r="B16" s="8" t="s">
        <v>55</v>
      </c>
      <c r="C16" s="9">
        <v>1</v>
      </c>
      <c r="D16" s="9">
        <v>0</v>
      </c>
      <c r="E16" s="10">
        <v>0</v>
      </c>
      <c r="F16" s="11">
        <v>1</v>
      </c>
      <c r="G16" s="12">
        <v>0</v>
      </c>
      <c r="H16" s="12">
        <v>1</v>
      </c>
      <c r="I16" s="12">
        <v>0</v>
      </c>
      <c r="J16" s="12">
        <v>0</v>
      </c>
      <c r="K16" s="13" t="s">
        <v>37</v>
      </c>
      <c r="L16" s="13" t="s">
        <v>37</v>
      </c>
      <c r="M16" s="13" t="s">
        <v>37</v>
      </c>
      <c r="N16" s="13" t="s">
        <v>37</v>
      </c>
      <c r="O16" s="14" t="s">
        <v>37</v>
      </c>
      <c r="P16" s="14" t="s">
        <v>37</v>
      </c>
      <c r="Q16" s="14" t="s">
        <v>37</v>
      </c>
      <c r="R16" s="14" t="s">
        <v>37</v>
      </c>
      <c r="S16" s="15" t="str">
        <f ca="1">IFERROR(__xludf.DUMMYFUNCTION("JOIN("""", C16:F16) &amp; "" "" &amp; JOIN("""", G16:J16) &amp; "" "" &amp; JOIN("""", K16:N16) &amp; "" "" &amp; JOIN("""", O16:R16)"),"1001 0100 xxxx xxxx")</f>
        <v>1001 0100 xxxx xxxx</v>
      </c>
      <c r="T16" s="9" t="s">
        <v>47</v>
      </c>
    </row>
    <row r="17" spans="1:20" ht="15.75" customHeight="1">
      <c r="A17" s="7" t="s">
        <v>56</v>
      </c>
      <c r="B17" s="8" t="s">
        <v>57</v>
      </c>
      <c r="C17" s="9">
        <v>1</v>
      </c>
      <c r="D17" s="9">
        <v>0</v>
      </c>
      <c r="E17" s="10">
        <v>0</v>
      </c>
      <c r="F17" s="11">
        <v>1</v>
      </c>
      <c r="G17" s="12">
        <v>0</v>
      </c>
      <c r="H17" s="12">
        <v>1</v>
      </c>
      <c r="I17" s="12">
        <v>0</v>
      </c>
      <c r="J17" s="12">
        <v>1</v>
      </c>
      <c r="K17" s="13" t="s">
        <v>37</v>
      </c>
      <c r="L17" s="13" t="s">
        <v>37</v>
      </c>
      <c r="M17" s="13" t="s">
        <v>37</v>
      </c>
      <c r="N17" s="13" t="s">
        <v>37</v>
      </c>
      <c r="O17" s="14" t="s">
        <v>37</v>
      </c>
      <c r="P17" s="14" t="s">
        <v>37</v>
      </c>
      <c r="Q17" s="14" t="s">
        <v>37</v>
      </c>
      <c r="R17" s="14" t="s">
        <v>37</v>
      </c>
      <c r="S17" s="15" t="str">
        <f ca="1">IFERROR(__xludf.DUMMYFUNCTION("JOIN("""", C17:F17) &amp; "" "" &amp; JOIN("""", G17:J17) &amp; "" "" &amp; JOIN("""", K17:N17) &amp; "" "" &amp; JOIN("""", O17:R17)"),"1001 0101 xxxx xxxx")</f>
        <v>1001 0101 xxxx xxxx</v>
      </c>
      <c r="T17" s="9" t="s">
        <v>47</v>
      </c>
    </row>
    <row r="18" spans="1:20" ht="15.75" customHeight="1">
      <c r="A18" s="7" t="s">
        <v>58</v>
      </c>
      <c r="B18" s="8" t="s">
        <v>59</v>
      </c>
      <c r="C18" s="9">
        <v>1</v>
      </c>
      <c r="D18" s="9">
        <v>0</v>
      </c>
      <c r="E18" s="10">
        <v>0</v>
      </c>
      <c r="F18" s="11">
        <v>1</v>
      </c>
      <c r="G18" s="12">
        <v>0</v>
      </c>
      <c r="H18" s="12">
        <v>1</v>
      </c>
      <c r="I18" s="12">
        <v>1</v>
      </c>
      <c r="J18" s="12">
        <v>0</v>
      </c>
      <c r="K18" s="13" t="s">
        <v>37</v>
      </c>
      <c r="L18" s="13" t="s">
        <v>37</v>
      </c>
      <c r="M18" s="13" t="s">
        <v>37</v>
      </c>
      <c r="N18" s="13" t="s">
        <v>37</v>
      </c>
      <c r="O18" s="14" t="s">
        <v>37</v>
      </c>
      <c r="P18" s="14" t="s">
        <v>37</v>
      </c>
      <c r="Q18" s="14" t="s">
        <v>37</v>
      </c>
      <c r="R18" s="14" t="s">
        <v>37</v>
      </c>
      <c r="S18" s="15" t="str">
        <f ca="1">IFERROR(__xludf.DUMMYFUNCTION("JOIN("""", C18:F18) &amp; "" "" &amp; JOIN("""", G18:J18) &amp; "" "" &amp; JOIN("""", K18:N18) &amp; "" "" &amp; JOIN("""", O18:R18)"),"1001 0110 xxxx xxxx")</f>
        <v>1001 0110 xxxx xxxx</v>
      </c>
      <c r="T18" s="9" t="s">
        <v>47</v>
      </c>
    </row>
    <row r="19" spans="1:20" ht="15.75" customHeight="1">
      <c r="A19" s="7" t="s">
        <v>60</v>
      </c>
      <c r="B19" s="8" t="s">
        <v>61</v>
      </c>
      <c r="C19" s="9">
        <v>1</v>
      </c>
      <c r="D19" s="9">
        <v>0</v>
      </c>
      <c r="E19" s="10">
        <v>0</v>
      </c>
      <c r="F19" s="11">
        <v>1</v>
      </c>
      <c r="G19" s="12">
        <v>0</v>
      </c>
      <c r="H19" s="12">
        <v>1</v>
      </c>
      <c r="I19" s="12">
        <v>1</v>
      </c>
      <c r="J19" s="12">
        <v>1</v>
      </c>
      <c r="K19" s="13" t="s">
        <v>37</v>
      </c>
      <c r="L19" s="13" t="s">
        <v>37</v>
      </c>
      <c r="M19" s="13" t="s">
        <v>37</v>
      </c>
      <c r="N19" s="13" t="s">
        <v>37</v>
      </c>
      <c r="O19" s="14" t="s">
        <v>37</v>
      </c>
      <c r="P19" s="14" t="s">
        <v>37</v>
      </c>
      <c r="Q19" s="14" t="s">
        <v>37</v>
      </c>
      <c r="R19" s="14" t="s">
        <v>37</v>
      </c>
      <c r="S19" s="15" t="str">
        <f ca="1">IFERROR(__xludf.DUMMYFUNCTION("JOIN("""", C19:F19) &amp; "" "" &amp; JOIN("""", G19:J19) &amp; "" "" &amp; JOIN("""", K19:N19) &amp; "" "" &amp; JOIN("""", O19:R19)"),"1001 0111 xxxx xxxx")</f>
        <v>1001 0111 xxxx xxxx</v>
      </c>
      <c r="T19" s="9" t="s">
        <v>47</v>
      </c>
    </row>
    <row r="20" spans="1:20" ht="15.75" customHeight="1">
      <c r="A20" s="7" t="s">
        <v>62</v>
      </c>
      <c r="B20" s="8" t="s">
        <v>63</v>
      </c>
      <c r="C20" s="9">
        <v>1</v>
      </c>
      <c r="D20" s="9">
        <v>0</v>
      </c>
      <c r="E20" s="10">
        <v>0</v>
      </c>
      <c r="F20" s="11">
        <v>1</v>
      </c>
      <c r="G20" s="12">
        <v>1</v>
      </c>
      <c r="H20" s="12">
        <v>0</v>
      </c>
      <c r="I20" s="12">
        <v>0</v>
      </c>
      <c r="J20" s="12">
        <v>0</v>
      </c>
      <c r="K20" s="13" t="s">
        <v>37</v>
      </c>
      <c r="L20" s="13" t="s">
        <v>37</v>
      </c>
      <c r="M20" s="13" t="s">
        <v>37</v>
      </c>
      <c r="N20" s="13" t="s">
        <v>37</v>
      </c>
      <c r="O20" s="14" t="s">
        <v>37</v>
      </c>
      <c r="P20" s="14" t="s">
        <v>37</v>
      </c>
      <c r="Q20" s="14" t="s">
        <v>37</v>
      </c>
      <c r="R20" s="14" t="s">
        <v>37</v>
      </c>
      <c r="S20" s="15" t="str">
        <f ca="1">IFERROR(__xludf.DUMMYFUNCTION("JOIN("""", C20:F20) &amp; "" "" &amp; JOIN("""", G20:J20) &amp; "" "" &amp; JOIN("""", K20:N20) &amp; "" "" &amp; JOIN("""", O20:R20)"),"1001 1000 xxxx xxxx")</f>
        <v>1001 1000 xxxx xxxx</v>
      </c>
      <c r="T20" s="9" t="s">
        <v>47</v>
      </c>
    </row>
    <row r="21" spans="1:20" ht="15.75" customHeight="1">
      <c r="A21" s="7" t="s">
        <v>64</v>
      </c>
      <c r="B21" s="8" t="s">
        <v>65</v>
      </c>
      <c r="C21" s="9">
        <v>1</v>
      </c>
      <c r="D21" s="9">
        <v>0</v>
      </c>
      <c r="E21" s="10">
        <v>0</v>
      </c>
      <c r="F21" s="11">
        <v>1</v>
      </c>
      <c r="G21" s="12">
        <v>1</v>
      </c>
      <c r="H21" s="12">
        <v>0</v>
      </c>
      <c r="I21" s="12">
        <v>0</v>
      </c>
      <c r="J21" s="12">
        <v>1</v>
      </c>
      <c r="K21" s="13" t="s">
        <v>37</v>
      </c>
      <c r="L21" s="13" t="s">
        <v>37</v>
      </c>
      <c r="M21" s="13" t="s">
        <v>37</v>
      </c>
      <c r="N21" s="13" t="s">
        <v>37</v>
      </c>
      <c r="O21" s="14" t="s">
        <v>37</v>
      </c>
      <c r="P21" s="14" t="s">
        <v>37</v>
      </c>
      <c r="Q21" s="14" t="s">
        <v>37</v>
      </c>
      <c r="R21" s="14" t="s">
        <v>37</v>
      </c>
      <c r="S21" s="15" t="str">
        <f ca="1">IFERROR(__xludf.DUMMYFUNCTION("JOIN("""", C21:F21) &amp; "" "" &amp; JOIN("""", G21:J21) &amp; "" "" &amp; JOIN("""", K21:N21) &amp; "" "" &amp; JOIN("""", O21:R21)"),"1001 1001 xxxx xxxx")</f>
        <v>1001 1001 xxxx xxxx</v>
      </c>
      <c r="T21" s="9" t="s">
        <v>47</v>
      </c>
    </row>
    <row r="22" spans="1:20" ht="15.75" customHeight="1">
      <c r="A22" s="5"/>
      <c r="B22" s="6" t="s">
        <v>66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 t="str">
        <f ca="1">IFERROR(__xludf.DUMMYFUNCTION("JOIN("""", C22:F22) &amp; "" "" &amp; JOIN("""", G22:J22) &amp; "" "" &amp; JOIN("""", K22:N22) &amp; "" "" &amp; JOIN("""", O22:R22)"),"   ")</f>
        <v xml:space="preserve">   </v>
      </c>
      <c r="T22" s="16"/>
    </row>
    <row r="23" spans="1:20" ht="15.75" customHeight="1">
      <c r="A23" s="7" t="s">
        <v>67</v>
      </c>
      <c r="B23" s="8" t="s">
        <v>68</v>
      </c>
      <c r="C23" s="9">
        <v>1</v>
      </c>
      <c r="D23" s="9">
        <v>1</v>
      </c>
      <c r="E23" s="10">
        <v>0</v>
      </c>
      <c r="F23" s="11">
        <v>0</v>
      </c>
      <c r="G23" s="12">
        <v>0</v>
      </c>
      <c r="H23" s="12">
        <v>0</v>
      </c>
      <c r="I23" s="12">
        <v>0</v>
      </c>
      <c r="J23" s="12">
        <v>0</v>
      </c>
      <c r="K23" s="13" t="s">
        <v>30</v>
      </c>
      <c r="L23" s="13" t="s">
        <v>30</v>
      </c>
      <c r="M23" s="13" t="s">
        <v>30</v>
      </c>
      <c r="N23" s="13" t="s">
        <v>30</v>
      </c>
      <c r="O23" s="14" t="s">
        <v>31</v>
      </c>
      <c r="P23" s="14" t="s">
        <v>31</v>
      </c>
      <c r="Q23" s="14" t="s">
        <v>31</v>
      </c>
      <c r="R23" s="14" t="s">
        <v>31</v>
      </c>
      <c r="S23" s="15" t="str">
        <f ca="1">IFERROR(__xludf.DUMMYFUNCTION("JOIN("""", C23:F23) &amp; "" "" &amp; JOIN("""", G23:J23) &amp; "" "" &amp; JOIN("""", K23:N23) &amp; "" "" &amp; JOIN("""", O23:R23)"),"1100 0000 aaaa bbbb")</f>
        <v>1100 0000 aaaa bbbb</v>
      </c>
      <c r="T23" s="9" t="s">
        <v>47</v>
      </c>
    </row>
    <row r="24" spans="1:20" ht="15.75" customHeight="1">
      <c r="A24" s="7" t="s">
        <v>69</v>
      </c>
      <c r="B24" s="8" t="s">
        <v>70</v>
      </c>
      <c r="C24" s="9">
        <v>1</v>
      </c>
      <c r="D24" s="9">
        <v>1</v>
      </c>
      <c r="E24" s="10">
        <v>0</v>
      </c>
      <c r="F24" s="11">
        <v>0</v>
      </c>
      <c r="G24" s="12">
        <v>0</v>
      </c>
      <c r="H24" s="12">
        <v>0</v>
      </c>
      <c r="I24" s="12">
        <v>0</v>
      </c>
      <c r="J24" s="12">
        <v>1</v>
      </c>
      <c r="K24" s="13" t="s">
        <v>30</v>
      </c>
      <c r="L24" s="13" t="s">
        <v>30</v>
      </c>
      <c r="M24" s="13" t="s">
        <v>30</v>
      </c>
      <c r="N24" s="13" t="s">
        <v>30</v>
      </c>
      <c r="O24" s="14" t="s">
        <v>37</v>
      </c>
      <c r="P24" s="14" t="s">
        <v>37</v>
      </c>
      <c r="Q24" s="14" t="s">
        <v>37</v>
      </c>
      <c r="R24" s="14" t="s">
        <v>37</v>
      </c>
      <c r="S24" s="15" t="str">
        <f ca="1">IFERROR(__xludf.DUMMYFUNCTION("JOIN("""", C24:F24) &amp; "" "" &amp; JOIN("""", G24:J24) &amp; "" "" &amp; JOIN("""", K24:N24) &amp; "" "" &amp; JOIN("""", O24:R24)"),"1100 0001 aaaa xxxx")</f>
        <v>1100 0001 aaaa xxxx</v>
      </c>
      <c r="T24" s="9" t="s">
        <v>47</v>
      </c>
    </row>
    <row r="25" spans="1:20" ht="15.75" customHeight="1">
      <c r="A25" s="7" t="s">
        <v>71</v>
      </c>
      <c r="B25" s="8" t="s">
        <v>72</v>
      </c>
      <c r="C25" s="9">
        <v>1</v>
      </c>
      <c r="D25" s="9">
        <v>1</v>
      </c>
      <c r="E25" s="10">
        <v>0</v>
      </c>
      <c r="F25" s="11">
        <v>0</v>
      </c>
      <c r="G25" s="12">
        <v>0</v>
      </c>
      <c r="H25" s="12">
        <v>0</v>
      </c>
      <c r="I25" s="12">
        <v>1</v>
      </c>
      <c r="J25" s="12">
        <v>0</v>
      </c>
      <c r="K25" s="13" t="s">
        <v>30</v>
      </c>
      <c r="L25" s="13" t="s">
        <v>30</v>
      </c>
      <c r="M25" s="13" t="s">
        <v>30</v>
      </c>
      <c r="N25" s="13" t="s">
        <v>30</v>
      </c>
      <c r="O25" s="14" t="s">
        <v>37</v>
      </c>
      <c r="P25" s="14" t="s">
        <v>37</v>
      </c>
      <c r="Q25" s="14" t="s">
        <v>37</v>
      </c>
      <c r="R25" s="14" t="s">
        <v>37</v>
      </c>
      <c r="S25" s="15" t="str">
        <f ca="1">IFERROR(__xludf.DUMMYFUNCTION("JOIN("""", C25:F25) &amp; "" "" &amp; JOIN("""", G25:J25) &amp; "" "" &amp; JOIN("""", K25:N25) &amp; "" "" &amp; JOIN("""", O25:R25)"),"1100 0010 aaaa xxxx")</f>
        <v>1100 0010 aaaa xxxx</v>
      </c>
      <c r="T25" s="9" t="s">
        <v>32</v>
      </c>
    </row>
    <row r="26" spans="1:20" ht="15.75" customHeight="1">
      <c r="A26" s="7" t="s">
        <v>73</v>
      </c>
      <c r="B26" s="8" t="s">
        <v>74</v>
      </c>
      <c r="C26" s="9">
        <v>1</v>
      </c>
      <c r="D26" s="9">
        <v>1</v>
      </c>
      <c r="E26" s="10">
        <v>0</v>
      </c>
      <c r="F26" s="11">
        <v>0</v>
      </c>
      <c r="G26" s="12">
        <v>0</v>
      </c>
      <c r="H26" s="12">
        <v>0</v>
      </c>
      <c r="I26" s="12">
        <v>1</v>
      </c>
      <c r="J26" s="12">
        <v>1</v>
      </c>
      <c r="K26" s="13" t="s">
        <v>30</v>
      </c>
      <c r="L26" s="13" t="s">
        <v>30</v>
      </c>
      <c r="M26" s="13" t="s">
        <v>30</v>
      </c>
      <c r="N26" s="13" t="s">
        <v>30</v>
      </c>
      <c r="O26" s="14" t="s">
        <v>37</v>
      </c>
      <c r="P26" s="14" t="s">
        <v>37</v>
      </c>
      <c r="Q26" s="14" t="s">
        <v>37</v>
      </c>
      <c r="R26" s="14" t="s">
        <v>37</v>
      </c>
      <c r="S26" s="15" t="str">
        <f ca="1">IFERROR(__xludf.DUMMYFUNCTION("JOIN("""", C26:F26) &amp; "" "" &amp; JOIN("""", G26:J26) &amp; "" "" &amp; JOIN("""", K26:N26) &amp; "" "" &amp; JOIN("""", O26:R26)"),"1100 0011 aaaa xxxx")</f>
        <v>1100 0011 aaaa xxxx</v>
      </c>
      <c r="T26" s="9" t="s">
        <v>32</v>
      </c>
    </row>
    <row r="27" spans="1:20" ht="15.75" customHeight="1">
      <c r="A27" s="7" t="s">
        <v>75</v>
      </c>
      <c r="B27" s="8" t="s">
        <v>76</v>
      </c>
      <c r="C27" s="9">
        <v>1</v>
      </c>
      <c r="D27" s="9">
        <v>1</v>
      </c>
      <c r="E27" s="10">
        <v>0</v>
      </c>
      <c r="F27" s="11">
        <v>1</v>
      </c>
      <c r="G27" s="12">
        <v>0</v>
      </c>
      <c r="H27" s="12">
        <v>1</v>
      </c>
      <c r="I27" s="12">
        <v>0</v>
      </c>
      <c r="J27" s="12">
        <v>0</v>
      </c>
      <c r="K27" s="13" t="s">
        <v>37</v>
      </c>
      <c r="L27" s="13" t="s">
        <v>37</v>
      </c>
      <c r="M27" s="13" t="s">
        <v>37</v>
      </c>
      <c r="N27" s="13" t="s">
        <v>37</v>
      </c>
      <c r="O27" s="14" t="s">
        <v>37</v>
      </c>
      <c r="P27" s="14" t="s">
        <v>37</v>
      </c>
      <c r="Q27" s="14" t="s">
        <v>37</v>
      </c>
      <c r="R27" s="14" t="s">
        <v>37</v>
      </c>
      <c r="S27" s="15" t="str">
        <f ca="1">IFERROR(__xludf.DUMMYFUNCTION("JOIN("""", C27:F27) &amp; "" "" &amp; JOIN("""", G27:J27) &amp; "" "" &amp; JOIN("""", K27:N27) &amp; "" "" &amp; JOIN("""", O27:R27)"),"1101 0100 xxxx xxxx")</f>
        <v>1101 0100 xxxx xxxx</v>
      </c>
      <c r="T27" s="9" t="s">
        <v>47</v>
      </c>
    </row>
    <row r="28" spans="1:20" ht="15.75" customHeight="1">
      <c r="A28" s="7" t="s">
        <v>77</v>
      </c>
      <c r="B28" s="8" t="s">
        <v>78</v>
      </c>
      <c r="C28" s="9">
        <v>1</v>
      </c>
      <c r="D28" s="9">
        <v>1</v>
      </c>
      <c r="E28" s="10">
        <v>0</v>
      </c>
      <c r="F28" s="11">
        <v>1</v>
      </c>
      <c r="G28" s="12">
        <v>0</v>
      </c>
      <c r="H28" s="12">
        <v>1</v>
      </c>
      <c r="I28" s="12">
        <v>0</v>
      </c>
      <c r="J28" s="12">
        <v>1</v>
      </c>
      <c r="K28" s="13" t="s">
        <v>30</v>
      </c>
      <c r="L28" s="13" t="s">
        <v>30</v>
      </c>
      <c r="M28" s="13" t="s">
        <v>30</v>
      </c>
      <c r="N28" s="13" t="s">
        <v>30</v>
      </c>
      <c r="O28" s="14" t="s">
        <v>30</v>
      </c>
      <c r="P28" s="14" t="s">
        <v>37</v>
      </c>
      <c r="Q28" s="14" t="s">
        <v>37</v>
      </c>
      <c r="R28" s="14" t="s">
        <v>37</v>
      </c>
      <c r="S28" s="15" t="str">
        <f ca="1">IFERROR(__xludf.DUMMYFUNCTION("JOIN("""", C28:F28) &amp; "" "" &amp; JOIN("""", G28:J28) &amp; "" "" &amp; JOIN("""", K28:N28) &amp; "" "" &amp; JOIN("""", O28:R28)"),"1101 0101 aaaa axxx")</f>
        <v>1101 0101 aaaa axxx</v>
      </c>
      <c r="T28" s="9" t="s">
        <v>47</v>
      </c>
    </row>
    <row r="29" spans="1:20" ht="15.75" customHeight="1">
      <c r="A29" s="7" t="s">
        <v>79</v>
      </c>
      <c r="B29" s="8" t="s">
        <v>80</v>
      </c>
      <c r="C29" s="9">
        <v>1</v>
      </c>
      <c r="D29" s="9">
        <v>1</v>
      </c>
      <c r="E29" s="10">
        <v>0</v>
      </c>
      <c r="F29" s="11">
        <v>0</v>
      </c>
      <c r="G29" s="12">
        <v>0</v>
      </c>
      <c r="H29" s="12">
        <v>1</v>
      </c>
      <c r="I29" s="12">
        <v>1</v>
      </c>
      <c r="J29" s="12">
        <v>0</v>
      </c>
      <c r="K29" s="13" t="s">
        <v>30</v>
      </c>
      <c r="L29" s="13" t="s">
        <v>30</v>
      </c>
      <c r="M29" s="13" t="s">
        <v>30</v>
      </c>
      <c r="N29" s="13" t="s">
        <v>30</v>
      </c>
      <c r="O29" s="14" t="s">
        <v>37</v>
      </c>
      <c r="P29" s="14" t="s">
        <v>37</v>
      </c>
      <c r="Q29" s="14" t="s">
        <v>37</v>
      </c>
      <c r="R29" s="14" t="s">
        <v>37</v>
      </c>
      <c r="S29" s="15" t="str">
        <f ca="1">IFERROR(__xludf.DUMMYFUNCTION("JOIN("""", C29:F29) &amp; "" "" &amp; JOIN("""", G29:J29) &amp; "" "" &amp; JOIN("""", K29:N29) &amp; "" "" &amp; JOIN("""", O29:R29)"),"1100 0110 aaaa xxxx")</f>
        <v>1100 0110 aaaa xxxx</v>
      </c>
      <c r="T29" s="9" t="s">
        <v>47</v>
      </c>
    </row>
    <row r="30" spans="1:20" ht="15.75" customHeight="1">
      <c r="A30" s="7" t="s">
        <v>81</v>
      </c>
      <c r="B30" s="8" t="s">
        <v>82</v>
      </c>
      <c r="C30" s="9">
        <v>1</v>
      </c>
      <c r="D30" s="9">
        <v>1</v>
      </c>
      <c r="E30" s="10">
        <v>0</v>
      </c>
      <c r="F30" s="11">
        <v>0</v>
      </c>
      <c r="G30" s="12">
        <v>0</v>
      </c>
      <c r="H30" s="12">
        <v>1</v>
      </c>
      <c r="I30" s="12">
        <v>1</v>
      </c>
      <c r="J30" s="12">
        <v>1</v>
      </c>
      <c r="K30" s="13" t="s">
        <v>30</v>
      </c>
      <c r="L30" s="13" t="s">
        <v>30</v>
      </c>
      <c r="M30" s="13" t="s">
        <v>30</v>
      </c>
      <c r="N30" s="13" t="s">
        <v>30</v>
      </c>
      <c r="O30" s="14" t="s">
        <v>37</v>
      </c>
      <c r="P30" s="14" t="s">
        <v>37</v>
      </c>
      <c r="Q30" s="14" t="s">
        <v>37</v>
      </c>
      <c r="R30" s="14" t="s">
        <v>37</v>
      </c>
      <c r="S30" s="15" t="str">
        <f ca="1">IFERROR(__xludf.DUMMYFUNCTION("JOIN("""", C30:F30) &amp; "" "" &amp; JOIN("""", G30:J30) &amp; "" "" &amp; JOIN("""", K30:N30) &amp; "" "" &amp; JOIN("""", O30:R30)"),"1100 0111 aaaa xxxx")</f>
        <v>1100 0111 aaaa xxxx</v>
      </c>
      <c r="T30" s="9" t="s">
        <v>47</v>
      </c>
    </row>
    <row r="31" spans="1:20" ht="15.75" customHeight="1">
      <c r="A31" s="7" t="s">
        <v>83</v>
      </c>
      <c r="B31" s="8" t="s">
        <v>84</v>
      </c>
      <c r="C31" s="9">
        <v>1</v>
      </c>
      <c r="D31" s="9">
        <v>1</v>
      </c>
      <c r="E31" s="10">
        <v>0</v>
      </c>
      <c r="F31" s="11">
        <v>0</v>
      </c>
      <c r="G31" s="12">
        <v>1</v>
      </c>
      <c r="H31" s="12">
        <v>0</v>
      </c>
      <c r="I31" s="12">
        <v>0</v>
      </c>
      <c r="J31" s="12">
        <v>0</v>
      </c>
      <c r="K31" s="13" t="s">
        <v>30</v>
      </c>
      <c r="L31" s="13" t="s">
        <v>30</v>
      </c>
      <c r="M31" s="13" t="s">
        <v>30</v>
      </c>
      <c r="N31" s="13" t="s">
        <v>30</v>
      </c>
      <c r="O31" s="14" t="s">
        <v>37</v>
      </c>
      <c r="P31" s="14" t="s">
        <v>37</v>
      </c>
      <c r="Q31" s="14" t="s">
        <v>37</v>
      </c>
      <c r="R31" s="14" t="s">
        <v>37</v>
      </c>
      <c r="S31" s="15" t="str">
        <f ca="1">IFERROR(__xludf.DUMMYFUNCTION("JOIN("""", C31:F31) &amp; "" "" &amp; JOIN("""", G31:J31) &amp; "" "" &amp; JOIN("""", K31:N31) &amp; "" "" &amp; JOIN("""", O31:R31)"),"1100 1000 aaaa xxxx")</f>
        <v>1100 1000 aaaa xxxx</v>
      </c>
      <c r="T31" s="9" t="s">
        <v>47</v>
      </c>
    </row>
    <row r="32" spans="1:20" ht="15.75" customHeight="1">
      <c r="A32" s="7" t="s">
        <v>85</v>
      </c>
      <c r="B32" s="8" t="s">
        <v>86</v>
      </c>
      <c r="C32" s="9">
        <v>1</v>
      </c>
      <c r="D32" s="9">
        <v>1</v>
      </c>
      <c r="E32" s="10">
        <v>0</v>
      </c>
      <c r="F32" s="11">
        <v>0</v>
      </c>
      <c r="G32" s="12">
        <v>1</v>
      </c>
      <c r="H32" s="12">
        <v>0</v>
      </c>
      <c r="I32" s="12">
        <v>0</v>
      </c>
      <c r="J32" s="12">
        <v>1</v>
      </c>
      <c r="K32" s="13" t="s">
        <v>30</v>
      </c>
      <c r="L32" s="13" t="s">
        <v>30</v>
      </c>
      <c r="M32" s="13" t="s">
        <v>30</v>
      </c>
      <c r="N32" s="13" t="s">
        <v>30</v>
      </c>
      <c r="O32" s="14" t="s">
        <v>37</v>
      </c>
      <c r="P32" s="14" t="s">
        <v>37</v>
      </c>
      <c r="Q32" s="14" t="s">
        <v>37</v>
      </c>
      <c r="R32" s="14" t="s">
        <v>37</v>
      </c>
      <c r="S32" s="15" t="str">
        <f ca="1">IFERROR(__xludf.DUMMYFUNCTION("JOIN("""", C32:F32) &amp; "" "" &amp; JOIN("""", G32:J32) &amp; "" "" &amp; JOIN("""", K32:N32) &amp; "" "" &amp; JOIN("""", O32:R32)"),"1100 1001 aaaa xxxx")</f>
        <v>1100 1001 aaaa xxxx</v>
      </c>
      <c r="T32" s="9" t="s">
        <v>47</v>
      </c>
    </row>
    <row r="33" spans="1:22" ht="15.75" customHeight="1">
      <c r="A33" s="7" t="s">
        <v>87</v>
      </c>
      <c r="B33" s="8" t="s">
        <v>88</v>
      </c>
      <c r="C33" s="9">
        <v>1</v>
      </c>
      <c r="D33" s="9">
        <v>1</v>
      </c>
      <c r="E33" s="10">
        <v>0</v>
      </c>
      <c r="F33" s="11">
        <v>1</v>
      </c>
      <c r="G33" s="12">
        <v>1</v>
      </c>
      <c r="H33" s="12">
        <v>0</v>
      </c>
      <c r="I33" s="12">
        <v>1</v>
      </c>
      <c r="J33" s="12">
        <v>0</v>
      </c>
      <c r="K33" s="13" t="s">
        <v>37</v>
      </c>
      <c r="L33" s="13" t="s">
        <v>37</v>
      </c>
      <c r="M33" s="13" t="s">
        <v>37</v>
      </c>
      <c r="N33" s="13" t="s">
        <v>37</v>
      </c>
      <c r="O33" s="14" t="s">
        <v>37</v>
      </c>
      <c r="P33" s="14" t="s">
        <v>37</v>
      </c>
      <c r="Q33" s="14" t="s">
        <v>37</v>
      </c>
      <c r="R33" s="14" t="s">
        <v>37</v>
      </c>
      <c r="S33" s="15" t="str">
        <f ca="1">IFERROR(__xludf.DUMMYFUNCTION("JOIN("""", C33:F33) &amp; "" "" &amp; JOIN("""", G33:J33) &amp; "" "" &amp; JOIN("""", K33:N33) &amp; "" "" &amp; JOIN("""", O33:R33)"),"1101 1010 xxxx xxxx")</f>
        <v>1101 1010 xxxx xxxx</v>
      </c>
      <c r="T33" s="9" t="s">
        <v>47</v>
      </c>
    </row>
    <row r="34" spans="1:22" ht="15.75" customHeight="1">
      <c r="A34" s="7" t="s">
        <v>89</v>
      </c>
      <c r="B34" s="8" t="s">
        <v>90</v>
      </c>
      <c r="C34" s="9">
        <v>1</v>
      </c>
      <c r="D34" s="9">
        <v>1</v>
      </c>
      <c r="E34" s="10">
        <v>1</v>
      </c>
      <c r="F34" s="11">
        <v>0</v>
      </c>
      <c r="G34" s="12">
        <v>1</v>
      </c>
      <c r="H34" s="12">
        <v>0</v>
      </c>
      <c r="I34" s="12">
        <v>1</v>
      </c>
      <c r="J34" s="12">
        <v>1</v>
      </c>
      <c r="K34" s="13" t="s">
        <v>30</v>
      </c>
      <c r="L34" s="13" t="s">
        <v>30</v>
      </c>
      <c r="M34" s="13" t="s">
        <v>30</v>
      </c>
      <c r="N34" s="13" t="s">
        <v>30</v>
      </c>
      <c r="O34" s="14" t="s">
        <v>31</v>
      </c>
      <c r="P34" s="14" t="s">
        <v>31</v>
      </c>
      <c r="Q34" s="14" t="s">
        <v>31</v>
      </c>
      <c r="R34" s="14" t="s">
        <v>31</v>
      </c>
      <c r="S34" s="15" t="str">
        <f ca="1">IFERROR(__xludf.DUMMYFUNCTION("JOIN("""", C34:F34) &amp; "" "" &amp; JOIN("""", G34:J34) &amp; "" "" &amp; JOIN("""", K34:N34) &amp; "" "" &amp; JOIN("""", O34:R34)"),"1110 1011 aaaa bbbb")</f>
        <v>1110 1011 aaaa bbbb</v>
      </c>
      <c r="T34" s="9" t="s">
        <v>47</v>
      </c>
      <c r="V34" s="17" t="s">
        <v>91</v>
      </c>
    </row>
    <row r="35" spans="1:22" ht="15.75" customHeight="1">
      <c r="A35" s="7" t="s">
        <v>92</v>
      </c>
      <c r="B35" s="8" t="s">
        <v>93</v>
      </c>
      <c r="C35" s="9">
        <v>1</v>
      </c>
      <c r="D35" s="9">
        <v>1</v>
      </c>
      <c r="E35" s="10">
        <v>1</v>
      </c>
      <c r="F35" s="11">
        <v>0</v>
      </c>
      <c r="G35" s="12">
        <v>1</v>
      </c>
      <c r="H35" s="12">
        <v>1</v>
      </c>
      <c r="I35" s="12">
        <v>0</v>
      </c>
      <c r="J35" s="12">
        <v>0</v>
      </c>
      <c r="K35" s="13" t="s">
        <v>30</v>
      </c>
      <c r="L35" s="13" t="s">
        <v>30</v>
      </c>
      <c r="M35" s="13" t="s">
        <v>30</v>
      </c>
      <c r="N35" s="13" t="s">
        <v>30</v>
      </c>
      <c r="O35" s="14" t="s">
        <v>31</v>
      </c>
      <c r="P35" s="14" t="s">
        <v>31</v>
      </c>
      <c r="Q35" s="14" t="s">
        <v>31</v>
      </c>
      <c r="R35" s="14" t="s">
        <v>31</v>
      </c>
      <c r="S35" s="15" t="str">
        <f ca="1">IFERROR(__xludf.DUMMYFUNCTION("JOIN("""", C35:F35) &amp; "" "" &amp; JOIN("""", G35:J35) &amp; "" "" &amp; JOIN("""", K35:N35) &amp; "" "" &amp; JOIN("""", O35:R35)"),"1110 1100 aaaa bbbb")</f>
        <v>1110 1100 aaaa bbbb</v>
      </c>
      <c r="T35" s="9" t="s">
        <v>47</v>
      </c>
      <c r="V35" s="17" t="s">
        <v>94</v>
      </c>
    </row>
    <row r="36" spans="1:22" ht="15.75" customHeight="1">
      <c r="A36" s="7" t="s">
        <v>95</v>
      </c>
      <c r="B36" s="8" t="s">
        <v>96</v>
      </c>
      <c r="C36" s="9">
        <v>1</v>
      </c>
      <c r="D36" s="9">
        <v>1</v>
      </c>
      <c r="E36" s="10">
        <v>1</v>
      </c>
      <c r="F36" s="11">
        <v>0</v>
      </c>
      <c r="G36" s="12">
        <v>1</v>
      </c>
      <c r="H36" s="12">
        <v>1</v>
      </c>
      <c r="I36" s="12">
        <v>0</v>
      </c>
      <c r="J36" s="12">
        <v>1</v>
      </c>
      <c r="K36" s="13" t="s">
        <v>30</v>
      </c>
      <c r="L36" s="13" t="s">
        <v>30</v>
      </c>
      <c r="M36" s="13" t="s">
        <v>30</v>
      </c>
      <c r="N36" s="13" t="s">
        <v>30</v>
      </c>
      <c r="O36" s="14" t="s">
        <v>31</v>
      </c>
      <c r="P36" s="14" t="s">
        <v>31</v>
      </c>
      <c r="Q36" s="14" t="s">
        <v>31</v>
      </c>
      <c r="R36" s="14" t="s">
        <v>31</v>
      </c>
      <c r="S36" s="15" t="str">
        <f ca="1">IFERROR(__xludf.DUMMYFUNCTION("JOIN("""", C36:F36) &amp; "" "" &amp; JOIN("""", G36:J36) &amp; "" "" &amp; JOIN("""", K36:N36) &amp; "" "" &amp; JOIN("""", O36:R36)"),"1110 1101 aaaa bbbb")</f>
        <v>1110 1101 aaaa bbbb</v>
      </c>
      <c r="T36" s="9" t="s">
        <v>32</v>
      </c>
      <c r="V36" s="17" t="s">
        <v>97</v>
      </c>
    </row>
    <row r="37" spans="1:22" ht="15.75" customHeight="1">
      <c r="O37" s="18"/>
      <c r="P37" s="18"/>
      <c r="Q37" s="18"/>
      <c r="R37" s="18"/>
    </row>
    <row r="40" spans="1:22" ht="15.75" customHeight="1">
      <c r="N40" s="17" t="s">
        <v>98</v>
      </c>
    </row>
    <row r="41" spans="1:22" ht="15.75" customHeight="1">
      <c r="N41" s="17" t="s">
        <v>99</v>
      </c>
    </row>
    <row r="42" spans="1:22" ht="15.75" customHeight="1">
      <c r="N42" s="17" t="s">
        <v>100</v>
      </c>
    </row>
    <row r="44" spans="1:22" ht="15.75" customHeight="1">
      <c r="N44" s="17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Matsusembly instructions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Windows User</cp:lastModifiedBy>
  <dcterms:created xsi:type="dcterms:W3CDTF">2026-06-24T14:39:05Z</dcterms:created>
  <dcterms:modified xsi:type="dcterms:W3CDTF">2026-06-24T14:39:05Z</dcterms:modified>
</cp:coreProperties>
</file>
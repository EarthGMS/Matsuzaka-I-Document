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3" windowWidth="14803" windowHeight="8014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K15" i="1"/>
  <c r="I13"/>
  <c r="K13" s="1"/>
  <c r="K12"/>
  <c r="I12"/>
  <c r="I11" l="1"/>
  <c r="K11" s="1"/>
  <c r="K10"/>
  <c r="I10"/>
  <c r="K9"/>
  <c r="I9"/>
  <c r="K8"/>
  <c r="I8"/>
  <c r="I7"/>
  <c r="K7" s="1"/>
  <c r="K6"/>
  <c r="I6"/>
  <c r="K5"/>
  <c r="I5"/>
  <c r="K4"/>
  <c r="I4"/>
  <c r="K3"/>
  <c r="I3"/>
  <c r="K2"/>
  <c r="I2"/>
</calcChain>
</file>

<file path=xl/sharedStrings.xml><?xml version="1.0" encoding="utf-8"?>
<sst xmlns="http://schemas.openxmlformats.org/spreadsheetml/2006/main" count="58" uniqueCount="47">
  <si>
    <t>IS</t>
  </si>
  <si>
    <t>ALU</t>
  </si>
  <si>
    <t>PC</t>
  </si>
  <si>
    <t>RAM</t>
  </si>
  <si>
    <t>IO</t>
  </si>
  <si>
    <t>ROM</t>
  </si>
  <si>
    <t>Cost Each</t>
  </si>
  <si>
    <t>Total</t>
  </si>
  <si>
    <t>Notes</t>
  </si>
  <si>
    <t>Link</t>
  </si>
  <si>
    <t>Part No</t>
  </si>
  <si>
    <t>Function</t>
  </si>
  <si>
    <t>AT28C64B</t>
  </si>
  <si>
    <t>Total No</t>
  </si>
  <si>
    <t>Total Cost</t>
  </si>
  <si>
    <t>link</t>
  </si>
  <si>
    <t>Not done a lot of Googling to find other choices</t>
  </si>
  <si>
    <t>74HC163 or 191</t>
  </si>
  <si>
    <t>74HC163</t>
  </si>
  <si>
    <t>4 bit counter</t>
  </si>
  <si>
    <t>8 bit latch</t>
  </si>
  <si>
    <t>8 bit latch (tri-state)</t>
  </si>
  <si>
    <t>8 bit tri-state buffer</t>
  </si>
  <si>
    <t>74HC273</t>
  </si>
  <si>
    <t>74HC373 or 573 latches</t>
  </si>
  <si>
    <t>74HC373</t>
  </si>
  <si>
    <t>16 bit latches (opcode, seq ROM out, RAM addr, ALU A/B). Use 373s - cheaper</t>
  </si>
  <si>
    <t>74HC244</t>
  </si>
  <si>
    <t>Assuming ALU needs 6 x 16 bit multiplexer for result for each mode</t>
  </si>
  <si>
    <t>74HC14</t>
  </si>
  <si>
    <t>6 x Schmitt inverter</t>
  </si>
  <si>
    <t>4 bit adder</t>
  </si>
  <si>
    <t>74HC283</t>
  </si>
  <si>
    <t>Assuming ALU needs a second 16 bit adder for 2's complement sub conversion</t>
  </si>
  <si>
    <t>Can only use 64KB of it with 16 bit address. Not done much Googling for other choices</t>
  </si>
  <si>
    <t>128Kx8 bit RAM</t>
  </si>
  <si>
    <t>64Kx8 bit EEPROM</t>
  </si>
  <si>
    <t>AS6C1008</t>
  </si>
  <si>
    <t>74HC138</t>
  </si>
  <si>
    <t>3:8 Decoder</t>
  </si>
  <si>
    <t>74HC32</t>
  </si>
  <si>
    <t>4 x 2 input OR</t>
  </si>
  <si>
    <t>ALU Z flag.</t>
  </si>
  <si>
    <t>4 x 2 input AND</t>
  </si>
  <si>
    <t>74HC08</t>
  </si>
  <si>
    <t>74HC86</t>
  </si>
  <si>
    <t>4 x 2 input XOR</t>
  </si>
</sst>
</file>

<file path=xl/styles.xml><?xml version="1.0" encoding="utf-8"?>
<styleSheet xmlns="http://schemas.openxmlformats.org/spreadsheetml/2006/main">
  <numFmts count="1">
    <numFmt numFmtId="164" formatCode="&quot;£&quot;#,##0.00"/>
  </numFmts>
  <fonts count="4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3" fillId="0" borderId="0" xfId="2" applyAlignment="1" applyProtection="1">
      <alignment horizontal="center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1" fillId="2" borderId="0" xfId="1" applyAlignment="1">
      <alignment horizont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rs-online.com/web/p/sram/7444542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ebay.co.uk/itm/202179599228" TargetMode="External"/><Relationship Id="rId7" Type="http://schemas.openxmlformats.org/officeDocument/2006/relationships/hyperlink" Target="https://www.ebay.co.uk/itm/231883180953" TargetMode="External"/><Relationship Id="rId12" Type="http://schemas.openxmlformats.org/officeDocument/2006/relationships/hyperlink" Target="https://www.ebay.co.uk/itm/121378439815" TargetMode="External"/><Relationship Id="rId2" Type="http://schemas.openxmlformats.org/officeDocument/2006/relationships/hyperlink" Target="https://www.ebay.co.uk/itm/231883180953" TargetMode="External"/><Relationship Id="rId1" Type="http://schemas.openxmlformats.org/officeDocument/2006/relationships/hyperlink" Target="https://uk.rs-online.com/web/p/eeprom/1276572" TargetMode="External"/><Relationship Id="rId6" Type="http://schemas.openxmlformats.org/officeDocument/2006/relationships/hyperlink" Target="https://www.ebay.co.uk/itm/233874410902" TargetMode="External"/><Relationship Id="rId11" Type="http://schemas.openxmlformats.org/officeDocument/2006/relationships/hyperlink" Target="https://www.ebay.co.uk/itm/233896339716" TargetMode="External"/><Relationship Id="rId5" Type="http://schemas.openxmlformats.org/officeDocument/2006/relationships/hyperlink" Target="https://www.ebay.co.uk/itm/257059171348" TargetMode="External"/><Relationship Id="rId10" Type="http://schemas.openxmlformats.org/officeDocument/2006/relationships/hyperlink" Target="https://www.ebay.co.uk/itm/231883180953" TargetMode="External"/><Relationship Id="rId4" Type="http://schemas.openxmlformats.org/officeDocument/2006/relationships/hyperlink" Target="https://www.ebay.co.uk/itm/225089481496" TargetMode="External"/><Relationship Id="rId9" Type="http://schemas.openxmlformats.org/officeDocument/2006/relationships/hyperlink" Target="https://www.ebay.co.uk/itm/2338744109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>
      <pane ySplit="1" topLeftCell="A2" activePane="bottomLeft" state="frozen"/>
      <selection pane="bottomLeft" activeCell="H17" sqref="H17"/>
    </sheetView>
  </sheetViews>
  <sheetFormatPr defaultRowHeight="14.6"/>
  <cols>
    <col min="1" max="1" width="11.15234375" style="1" customWidth="1"/>
    <col min="2" max="2" width="19" style="1" customWidth="1"/>
    <col min="3" max="8" width="9.23046875" style="1"/>
    <col min="9" max="9" width="9.23046875" style="4"/>
    <col min="10" max="11" width="9.23046875" style="8"/>
    <col min="12" max="12" width="6.921875" style="1" customWidth="1"/>
    <col min="13" max="13" width="74" style="1" customWidth="1"/>
    <col min="14" max="16384" width="9.23046875" style="1"/>
  </cols>
  <sheetData>
    <row r="1" spans="1:13" s="2" customFormat="1">
      <c r="A1" s="2" t="s">
        <v>10</v>
      </c>
      <c r="B1" s="2" t="s">
        <v>11</v>
      </c>
      <c r="C1" s="2" t="s">
        <v>5</v>
      </c>
      <c r="D1" s="2" t="s">
        <v>2</v>
      </c>
      <c r="E1" s="2" t="s">
        <v>0</v>
      </c>
      <c r="F1" s="2" t="s">
        <v>1</v>
      </c>
      <c r="G1" s="2" t="s">
        <v>3</v>
      </c>
      <c r="H1" s="2" t="s">
        <v>4</v>
      </c>
      <c r="I1" s="3" t="s">
        <v>13</v>
      </c>
      <c r="J1" s="7" t="s">
        <v>6</v>
      </c>
      <c r="K1" s="7" t="s">
        <v>14</v>
      </c>
      <c r="L1" s="2" t="s">
        <v>9</v>
      </c>
      <c r="M1" s="2" t="s">
        <v>8</v>
      </c>
    </row>
    <row r="2" spans="1:13">
      <c r="A2" s="1" t="s">
        <v>12</v>
      </c>
      <c r="B2" s="1" t="s">
        <v>36</v>
      </c>
      <c r="C2" s="1">
        <v>2</v>
      </c>
      <c r="D2" s="1">
        <v>0</v>
      </c>
      <c r="E2" s="1">
        <v>2</v>
      </c>
      <c r="F2" s="1">
        <v>0</v>
      </c>
      <c r="G2" s="1">
        <v>0</v>
      </c>
      <c r="H2" s="1">
        <v>0</v>
      </c>
      <c r="I2" s="4">
        <f>SUM(C2:H2)</f>
        <v>4</v>
      </c>
      <c r="J2" s="8">
        <v>4.96</v>
      </c>
      <c r="K2" s="8">
        <f>I2*J2</f>
        <v>19.84</v>
      </c>
      <c r="L2" s="5" t="s">
        <v>15</v>
      </c>
      <c r="M2" s="6" t="s">
        <v>16</v>
      </c>
    </row>
    <row r="3" spans="1:13">
      <c r="A3" s="1" t="s">
        <v>18</v>
      </c>
      <c r="B3" s="1" t="s">
        <v>19</v>
      </c>
      <c r="C3" s="1">
        <v>0</v>
      </c>
      <c r="D3" s="1">
        <v>4</v>
      </c>
      <c r="E3" s="1">
        <v>2</v>
      </c>
      <c r="F3" s="1">
        <v>0</v>
      </c>
      <c r="G3" s="1">
        <v>0</v>
      </c>
      <c r="H3" s="1">
        <v>0</v>
      </c>
      <c r="I3" s="4">
        <f>SUM(C3:H3)</f>
        <v>6</v>
      </c>
      <c r="J3" s="8">
        <v>0.76</v>
      </c>
      <c r="K3" s="8">
        <f>I3*J3</f>
        <v>4.5600000000000005</v>
      </c>
      <c r="L3" s="5" t="s">
        <v>15</v>
      </c>
      <c r="M3" s="6" t="s">
        <v>17</v>
      </c>
    </row>
    <row r="4" spans="1:13">
      <c r="A4" s="1" t="s">
        <v>23</v>
      </c>
      <c r="B4" s="1" t="s">
        <v>20</v>
      </c>
      <c r="C4" s="1">
        <v>0</v>
      </c>
      <c r="D4" s="1">
        <v>0</v>
      </c>
      <c r="E4" s="1">
        <v>6</v>
      </c>
      <c r="F4" s="1">
        <v>5</v>
      </c>
      <c r="G4" s="1">
        <v>0</v>
      </c>
      <c r="H4" s="9"/>
      <c r="I4" s="4">
        <f>SUM(C4:H4)</f>
        <v>11</v>
      </c>
      <c r="J4" s="8">
        <v>1</v>
      </c>
      <c r="K4" s="8">
        <f>I4*J4</f>
        <v>11</v>
      </c>
      <c r="L4" s="5" t="s">
        <v>15</v>
      </c>
      <c r="M4" s="6" t="s">
        <v>26</v>
      </c>
    </row>
    <row r="5" spans="1:13">
      <c r="A5" s="1" t="s">
        <v>25</v>
      </c>
      <c r="B5" s="1" t="s">
        <v>21</v>
      </c>
      <c r="C5" s="1">
        <v>0</v>
      </c>
      <c r="D5" s="1">
        <v>0</v>
      </c>
      <c r="E5" s="1">
        <v>4</v>
      </c>
      <c r="F5" s="1">
        <v>0</v>
      </c>
      <c r="G5" s="1">
        <v>0</v>
      </c>
      <c r="H5" s="9"/>
      <c r="I5" s="4">
        <f>SUM(C5:H5)</f>
        <v>4</v>
      </c>
      <c r="J5" s="8">
        <v>0.76</v>
      </c>
      <c r="K5" s="8">
        <f>I5*J5</f>
        <v>3.04</v>
      </c>
      <c r="L5" s="5" t="s">
        <v>15</v>
      </c>
      <c r="M5" s="6" t="s">
        <v>24</v>
      </c>
    </row>
    <row r="6" spans="1:13">
      <c r="A6" s="1" t="s">
        <v>27</v>
      </c>
      <c r="B6" s="1" t="s">
        <v>22</v>
      </c>
      <c r="C6" s="1">
        <v>0</v>
      </c>
      <c r="D6" s="1">
        <v>2</v>
      </c>
      <c r="E6" s="1">
        <v>2</v>
      </c>
      <c r="F6" s="1">
        <v>12</v>
      </c>
      <c r="G6" s="1">
        <v>0</v>
      </c>
      <c r="H6" s="9"/>
      <c r="I6" s="4">
        <f>SUM(C6:H6)</f>
        <v>16</v>
      </c>
      <c r="J6" s="8">
        <v>0.38</v>
      </c>
      <c r="K6" s="8">
        <f>I6*J6</f>
        <v>6.08</v>
      </c>
      <c r="L6" s="5" t="s">
        <v>15</v>
      </c>
      <c r="M6" s="6" t="s">
        <v>28</v>
      </c>
    </row>
    <row r="7" spans="1:13">
      <c r="A7" s="1" t="s">
        <v>29</v>
      </c>
      <c r="B7" s="1" t="s">
        <v>30</v>
      </c>
      <c r="C7" s="1">
        <v>0</v>
      </c>
      <c r="D7" s="1">
        <v>0</v>
      </c>
      <c r="E7" s="1">
        <v>2</v>
      </c>
      <c r="F7" s="1">
        <v>3</v>
      </c>
      <c r="G7" s="1">
        <v>0</v>
      </c>
      <c r="H7" s="1">
        <v>0</v>
      </c>
      <c r="I7" s="4">
        <f>SUM(C7:H7)</f>
        <v>5</v>
      </c>
      <c r="J7" s="8">
        <v>0.78</v>
      </c>
      <c r="K7" s="8">
        <f>I7*J7</f>
        <v>3.9000000000000004</v>
      </c>
      <c r="L7" s="5" t="s">
        <v>15</v>
      </c>
      <c r="M7" s="6"/>
    </row>
    <row r="8" spans="1:13">
      <c r="A8" s="1" t="s">
        <v>32</v>
      </c>
      <c r="B8" s="1" t="s">
        <v>31</v>
      </c>
      <c r="C8" s="1">
        <v>0</v>
      </c>
      <c r="D8" s="1">
        <v>0</v>
      </c>
      <c r="E8" s="1">
        <v>0</v>
      </c>
      <c r="F8" s="1">
        <v>8</v>
      </c>
      <c r="G8" s="1">
        <v>0</v>
      </c>
      <c r="H8" s="1">
        <v>0</v>
      </c>
      <c r="I8" s="4">
        <f>SUM(C8:H8)</f>
        <v>8</v>
      </c>
      <c r="J8" s="8">
        <v>0.76</v>
      </c>
      <c r="K8" s="8">
        <f>I8*J8</f>
        <v>6.08</v>
      </c>
      <c r="L8" s="5" t="s">
        <v>15</v>
      </c>
      <c r="M8" s="6" t="s">
        <v>33</v>
      </c>
    </row>
    <row r="9" spans="1:13">
      <c r="A9" s="1" t="s">
        <v>37</v>
      </c>
      <c r="B9" s="1" t="s">
        <v>35</v>
      </c>
      <c r="C9" s="1">
        <v>0</v>
      </c>
      <c r="D9" s="1">
        <v>0</v>
      </c>
      <c r="E9" s="1">
        <v>0</v>
      </c>
      <c r="F9" s="1">
        <v>0</v>
      </c>
      <c r="G9" s="1">
        <v>2</v>
      </c>
      <c r="H9" s="1">
        <v>0</v>
      </c>
      <c r="I9" s="4">
        <f>SUM(C9:H9)</f>
        <v>2</v>
      </c>
      <c r="J9" s="8">
        <v>7.08</v>
      </c>
      <c r="K9" s="8">
        <f>I9*J9</f>
        <v>14.16</v>
      </c>
      <c r="L9" s="5" t="s">
        <v>15</v>
      </c>
      <c r="M9" s="6" t="s">
        <v>34</v>
      </c>
    </row>
    <row r="10" spans="1:13">
      <c r="A10" s="1" t="s">
        <v>38</v>
      </c>
      <c r="B10" s="1" t="s">
        <v>39</v>
      </c>
      <c r="C10" s="1">
        <v>0</v>
      </c>
      <c r="D10" s="1">
        <v>0</v>
      </c>
      <c r="E10" s="1">
        <v>3</v>
      </c>
      <c r="F10" s="1">
        <v>1</v>
      </c>
      <c r="G10" s="1">
        <v>0</v>
      </c>
      <c r="H10" s="9"/>
      <c r="I10" s="4">
        <f>SUM(C10:H10)</f>
        <v>4</v>
      </c>
      <c r="J10" s="8">
        <v>0.78</v>
      </c>
      <c r="K10" s="8">
        <f>I10*J10</f>
        <v>3.12</v>
      </c>
      <c r="L10" s="5" t="s">
        <v>15</v>
      </c>
      <c r="M10" s="6"/>
    </row>
    <row r="11" spans="1:13">
      <c r="A11" s="1" t="s">
        <v>40</v>
      </c>
      <c r="B11" s="1" t="s">
        <v>41</v>
      </c>
      <c r="C11" s="1">
        <v>0</v>
      </c>
      <c r="D11" s="1">
        <v>0</v>
      </c>
      <c r="E11" s="1">
        <v>1</v>
      </c>
      <c r="F11" s="1">
        <v>4</v>
      </c>
      <c r="G11" s="1">
        <v>0</v>
      </c>
      <c r="H11" s="9"/>
      <c r="I11" s="4">
        <f>SUM(C11:H11)</f>
        <v>5</v>
      </c>
      <c r="J11" s="8">
        <v>0.76</v>
      </c>
      <c r="K11" s="8">
        <f>I11*J11</f>
        <v>3.8</v>
      </c>
      <c r="L11" s="5" t="s">
        <v>15</v>
      </c>
      <c r="M11" s="6" t="s">
        <v>42</v>
      </c>
    </row>
    <row r="12" spans="1:13">
      <c r="A12" s="1" t="s">
        <v>44</v>
      </c>
      <c r="B12" s="1" t="s">
        <v>43</v>
      </c>
      <c r="C12" s="1">
        <v>0</v>
      </c>
      <c r="D12" s="1">
        <v>0</v>
      </c>
      <c r="E12" s="1">
        <v>4</v>
      </c>
      <c r="F12" s="9"/>
      <c r="G12" s="1">
        <v>0</v>
      </c>
      <c r="H12" s="9"/>
      <c r="I12" s="4">
        <f>SUM(C12:H12)</f>
        <v>4</v>
      </c>
      <c r="J12" s="8">
        <v>0.8</v>
      </c>
      <c r="K12" s="8">
        <f>I12*J12</f>
        <v>3.2</v>
      </c>
      <c r="L12" s="5" t="s">
        <v>15</v>
      </c>
      <c r="M12" s="6"/>
    </row>
    <row r="13" spans="1:13">
      <c r="A13" s="1" t="s">
        <v>45</v>
      </c>
      <c r="B13" s="1" t="s">
        <v>46</v>
      </c>
      <c r="C13" s="1">
        <v>0</v>
      </c>
      <c r="D13" s="1">
        <v>0</v>
      </c>
      <c r="E13" s="1">
        <v>2</v>
      </c>
      <c r="F13" s="9"/>
      <c r="G13" s="1">
        <v>0</v>
      </c>
      <c r="H13" s="9"/>
      <c r="I13" s="4">
        <f>SUM(C13:H13)</f>
        <v>2</v>
      </c>
      <c r="J13" s="8">
        <v>1.85</v>
      </c>
      <c r="K13" s="8">
        <f>I13*J13</f>
        <v>3.7</v>
      </c>
      <c r="L13" s="5" t="s">
        <v>15</v>
      </c>
      <c r="M13" s="6"/>
    </row>
    <row r="14" spans="1:13">
      <c r="M14" s="6"/>
    </row>
    <row r="15" spans="1:13">
      <c r="J15" s="7" t="s">
        <v>7</v>
      </c>
      <c r="K15" s="8">
        <f>SUM(K2:K13)</f>
        <v>82.48</v>
      </c>
      <c r="M15" s="6"/>
    </row>
    <row r="16" spans="1:13">
      <c r="M16" s="6"/>
    </row>
    <row r="17" spans="13:13">
      <c r="M17" s="6"/>
    </row>
    <row r="18" spans="13:13">
      <c r="M18" s="6"/>
    </row>
    <row r="19" spans="13:13">
      <c r="M19" s="6"/>
    </row>
    <row r="20" spans="13:13">
      <c r="M20" s="6"/>
    </row>
    <row r="21" spans="13:13">
      <c r="M21" s="6"/>
    </row>
    <row r="22" spans="13:13">
      <c r="M22" s="6"/>
    </row>
    <row r="23" spans="13:13">
      <c r="M23" s="6"/>
    </row>
    <row r="24" spans="13:13">
      <c r="M24" s="6"/>
    </row>
    <row r="25" spans="13:13">
      <c r="M25" s="6"/>
    </row>
    <row r="26" spans="13:13">
      <c r="M26" s="6"/>
    </row>
    <row r="27" spans="13:13">
      <c r="M27" s="6"/>
    </row>
    <row r="28" spans="13:13">
      <c r="M28" s="6"/>
    </row>
    <row r="29" spans="13:13">
      <c r="M29" s="6"/>
    </row>
    <row r="30" spans="13:13">
      <c r="M30" s="6"/>
    </row>
    <row r="31" spans="13:13">
      <c r="M31" s="6"/>
    </row>
    <row r="32" spans="13:13">
      <c r="M32" s="6"/>
    </row>
    <row r="33" spans="13:13">
      <c r="M33" s="6"/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</hyperlinks>
  <pageMargins left="0.7" right="0.7" top="0.75" bottom="0.75" header="0.3" footer="0.3"/>
  <pageSetup paperSize="9" orientation="landscape" horizontalDpi="4294967293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2026-07-06T13:28:45Z</dcterms:modified>
</cp:coreProperties>
</file>
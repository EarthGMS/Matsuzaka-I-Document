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AC56" i="1"/>
  <c r="AB56"/>
  <c r="X56"/>
  <c r="W56"/>
  <c r="V56"/>
  <c r="S56"/>
  <c r="U56" s="1"/>
  <c r="AC55"/>
  <c r="S55"/>
  <c r="AC54"/>
  <c r="S54"/>
  <c r="AC52"/>
  <c r="AB52"/>
  <c r="X52"/>
  <c r="W52"/>
  <c r="V52"/>
  <c r="S52"/>
  <c r="U52" s="1"/>
  <c r="AC51"/>
  <c r="S51"/>
  <c r="AC50"/>
  <c r="S50"/>
  <c r="AC48"/>
  <c r="AB48"/>
  <c r="X48"/>
  <c r="W48"/>
  <c r="V48"/>
  <c r="S48"/>
  <c r="U48" s="1"/>
  <c r="AC47"/>
  <c r="S47"/>
  <c r="AC46"/>
  <c r="S46"/>
  <c r="AB40"/>
  <c r="AB44"/>
  <c r="AC44"/>
  <c r="X44"/>
  <c r="W44"/>
  <c r="V44"/>
  <c r="S44"/>
  <c r="U44" s="1"/>
  <c r="AC43"/>
  <c r="S43"/>
  <c r="AC42"/>
  <c r="S42"/>
  <c r="AB36"/>
  <c r="AB32"/>
  <c r="AB28"/>
  <c r="AB24"/>
  <c r="AB20"/>
  <c r="AB16"/>
  <c r="AB12"/>
  <c r="AB8"/>
  <c r="AB4"/>
  <c r="AC40"/>
  <c r="AC39"/>
  <c r="AC38"/>
  <c r="AC36"/>
  <c r="AC35"/>
  <c r="AC34"/>
  <c r="AC32"/>
  <c r="AC31"/>
  <c r="AC30"/>
  <c r="AC28"/>
  <c r="AC27"/>
  <c r="AC26"/>
  <c r="AC24"/>
  <c r="AC23"/>
  <c r="AC22"/>
  <c r="AC20"/>
  <c r="AC19"/>
  <c r="AC18"/>
  <c r="AC16"/>
  <c r="AC15"/>
  <c r="AC14"/>
  <c r="AC12"/>
  <c r="AC11"/>
  <c r="AC10"/>
  <c r="AC8"/>
  <c r="AC7"/>
  <c r="AC6"/>
  <c r="AC4"/>
  <c r="AC3"/>
  <c r="AC2"/>
  <c r="X40"/>
  <c r="W40"/>
  <c r="V40"/>
  <c r="S40"/>
  <c r="U40" s="1"/>
  <c r="S39"/>
  <c r="S38"/>
  <c r="X36"/>
  <c r="W36"/>
  <c r="V36"/>
  <c r="S36"/>
  <c r="U36" s="1"/>
  <c r="S35"/>
  <c r="S34"/>
  <c r="X32"/>
  <c r="W32"/>
  <c r="V32"/>
  <c r="S32"/>
  <c r="U32" s="1"/>
  <c r="S31"/>
  <c r="S30"/>
  <c r="X28"/>
  <c r="W28"/>
  <c r="V28"/>
  <c r="S28"/>
  <c r="U28" s="1"/>
  <c r="S27"/>
  <c r="S26"/>
  <c r="X24"/>
  <c r="W24"/>
  <c r="V24"/>
  <c r="S24"/>
  <c r="U24" s="1"/>
  <c r="S23"/>
  <c r="S22"/>
  <c r="X20"/>
  <c r="W20"/>
  <c r="V20"/>
  <c r="S20"/>
  <c r="U20" s="1"/>
  <c r="S19"/>
  <c r="S18"/>
  <c r="S16"/>
  <c r="U16" s="1"/>
  <c r="S15"/>
  <c r="S14"/>
  <c r="X16"/>
  <c r="W16"/>
  <c r="V16"/>
  <c r="X12"/>
  <c r="W12"/>
  <c r="V12"/>
  <c r="S12"/>
  <c r="U12" s="1"/>
  <c r="S11"/>
  <c r="S10"/>
  <c r="S8"/>
  <c r="U8" s="1"/>
  <c r="X8"/>
  <c r="W8"/>
  <c r="V8"/>
  <c r="S7"/>
  <c r="S6"/>
  <c r="X4"/>
  <c r="W4"/>
  <c r="V4"/>
  <c r="S3"/>
  <c r="S4"/>
  <c r="U4" s="1"/>
  <c r="S2"/>
  <c r="Y20" l="1"/>
  <c r="Y36"/>
  <c r="Y44"/>
  <c r="Y48"/>
  <c r="Y24"/>
  <c r="Y56"/>
  <c r="Y52"/>
  <c r="Y40"/>
  <c r="Y32"/>
  <c r="Y28"/>
  <c r="Y16"/>
  <c r="Y12"/>
  <c r="Y8"/>
  <c r="Y4"/>
</calcChain>
</file>

<file path=xl/sharedStrings.xml><?xml version="1.0" encoding="utf-8"?>
<sst xmlns="http://schemas.openxmlformats.org/spreadsheetml/2006/main" count="84" uniqueCount="28">
  <si>
    <t>Bit</t>
  </si>
  <si>
    <t>Input A</t>
  </si>
  <si>
    <t>Input B</t>
  </si>
  <si>
    <t>Value (dec)</t>
  </si>
  <si>
    <t>ADD Result</t>
  </si>
  <si>
    <t>Z</t>
  </si>
  <si>
    <t>N</t>
  </si>
  <si>
    <t>V</t>
  </si>
  <si>
    <t>Notes</t>
  </si>
  <si>
    <t>Doesn't matter if values are signed or unsigned as bit 15 not set</t>
  </si>
  <si>
    <t>ditto</t>
  </si>
  <si>
    <t>C</t>
  </si>
  <si>
    <t>S</t>
  </si>
  <si>
    <t>Unsigned number without bit 15 set</t>
  </si>
  <si>
    <t>Unsigned number with bit 15 set</t>
  </si>
  <si>
    <t>Unsigned numbers when added cause overflow into bit 16</t>
  </si>
  <si>
    <t>Signed negative number</t>
  </si>
  <si>
    <t xml:space="preserve">                 ditto</t>
  </si>
  <si>
    <t>Signed positive number</t>
  </si>
  <si>
    <t>SUB Result</t>
  </si>
  <si>
    <t>Value (hex)</t>
  </si>
  <si>
    <t>Minus smaller signed positive number</t>
  </si>
  <si>
    <t>Minus larger signed positive number</t>
  </si>
  <si>
    <t>(ADD Carry or SUB Borrow) Out</t>
  </si>
  <si>
    <t>Minus the same signed positive number</t>
  </si>
  <si>
    <t>Unsigned numbers when added cause bit 15 to be set</t>
  </si>
  <si>
    <t>passed?</t>
  </si>
  <si>
    <t>(SUB)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</si>
</sst>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textRotation="180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NumberFormat="1" applyFont="1"/>
    <xf numFmtId="0" fontId="0" fillId="0" borderId="0" xfId="0" applyNumberForma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applyNumberFormat="1" applyFill="1"/>
    <xf numFmtId="0" fontId="0" fillId="3" borderId="0" xfId="0" applyFill="1" applyAlignment="1">
      <alignment horizontal="right"/>
    </xf>
    <xf numFmtId="0" fontId="0" fillId="3" borderId="0" xfId="0" applyFill="1" applyAlignment="1">
      <alignment horizontal="left"/>
    </xf>
    <xf numFmtId="0" fontId="2" fillId="2" borderId="1" xfId="1" applyBorder="1"/>
  </cellXfs>
  <cellStyles count="2">
    <cellStyle name="Bad" xfId="1" builtinId="27"/>
    <cellStyle name="Normal" xfId="0" builtinId="0"/>
  </cellStyles>
  <dxfs count="1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56"/>
  <sheetViews>
    <sheetView tabSelected="1" zoomScale="85" zoomScaleNormal="85" workbookViewId="0">
      <pane ySplit="1" topLeftCell="A2" activePane="bottomLeft" state="frozen"/>
      <selection pane="bottomLeft" activeCell="AH10" sqref="AH10"/>
    </sheetView>
  </sheetViews>
  <sheetFormatPr defaultRowHeight="14.4"/>
  <cols>
    <col min="1" max="1" width="10.33203125" customWidth="1"/>
    <col min="2" max="18" width="2.21875" style="3" customWidth="1"/>
    <col min="19" max="19" width="9.33203125" style="6" customWidth="1"/>
    <col min="20" max="20" width="3.109375" customWidth="1"/>
    <col min="21" max="25" width="2.21875" style="3" customWidth="1"/>
    <col min="26" max="26" width="2.44140625" customWidth="1"/>
    <col min="27" max="27" width="53.5546875" customWidth="1"/>
    <col min="28" max="28" width="27.109375" style="8" customWidth="1"/>
    <col min="29" max="29" width="9.88671875" style="10" customWidth="1"/>
    <col min="30" max="30" width="18.6640625" customWidth="1"/>
  </cols>
  <sheetData>
    <row r="1" spans="1:30" s="1" customFormat="1" ht="16.2">
      <c r="A1" s="1" t="s">
        <v>0</v>
      </c>
      <c r="B1" s="2">
        <v>15</v>
      </c>
      <c r="C1" s="2">
        <v>14</v>
      </c>
      <c r="D1" s="2">
        <v>13</v>
      </c>
      <c r="E1" s="2">
        <v>12</v>
      </c>
      <c r="F1" s="2">
        <v>11</v>
      </c>
      <c r="G1" s="2">
        <v>10</v>
      </c>
      <c r="H1" s="2">
        <v>9</v>
      </c>
      <c r="I1" s="2">
        <v>8</v>
      </c>
      <c r="J1" s="2">
        <v>7</v>
      </c>
      <c r="K1" s="2">
        <v>6</v>
      </c>
      <c r="L1" s="2">
        <v>5</v>
      </c>
      <c r="M1" s="2">
        <v>4</v>
      </c>
      <c r="N1" s="2">
        <v>3</v>
      </c>
      <c r="O1" s="2">
        <v>2</v>
      </c>
      <c r="P1" s="2">
        <v>1</v>
      </c>
      <c r="Q1" s="2">
        <v>0</v>
      </c>
      <c r="R1" s="2"/>
      <c r="S1" s="5" t="s">
        <v>3</v>
      </c>
      <c r="U1" s="4" t="s">
        <v>5</v>
      </c>
      <c r="V1" s="4" t="s">
        <v>6</v>
      </c>
      <c r="W1" s="4" t="s">
        <v>7</v>
      </c>
      <c r="X1" s="4" t="s">
        <v>11</v>
      </c>
      <c r="Y1" s="4" t="s">
        <v>12</v>
      </c>
      <c r="AA1" s="1" t="s">
        <v>8</v>
      </c>
      <c r="AB1" s="7" t="s">
        <v>23</v>
      </c>
      <c r="AC1" s="9" t="s">
        <v>20</v>
      </c>
      <c r="AD1" s="1" t="s">
        <v>26</v>
      </c>
    </row>
    <row r="2" spans="1:30">
      <c r="A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1</v>
      </c>
      <c r="O2" s="3">
        <v>0</v>
      </c>
      <c r="P2" s="3">
        <v>0</v>
      </c>
      <c r="Q2" s="3">
        <v>0</v>
      </c>
      <c r="S2" s="6">
        <f xml:space="preserve"> (B2*2^15)+(C2*2^14)+(D2*2^13)+(E2*2^12)+(F2*2^11)+(G2*2^10)+(H2*2^9)+(I2*2^8)+(J2*2^7)+(K2*2^6)+(L2*2^5)+(M2*2^4)+(N2*2^3)+(O2*2^2)+(P2*2^1)+(Q2*2^0)</f>
        <v>8</v>
      </c>
      <c r="AA2" t="s">
        <v>9</v>
      </c>
      <c r="AC2" s="10" t="str">
        <f>"0x"&amp;DEC2HEX((B2*2^15)+(C2*2^14)+(D2*2^13)+(E2*2^12)+(F2*2^11)+(G2*2^10)+(H2*2^9)+(I2*2^8)+(J2*2^7)+(K2*2^6)+(L2*2^5)+(M2*2^4)+(N2*2^3)+(O2*2^2)+(P2*2^1)+(Q2*2^0),4)</f>
        <v>0x0008</v>
      </c>
      <c r="AD2" s="16"/>
    </row>
    <row r="3" spans="1:30">
      <c r="A3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1</v>
      </c>
      <c r="O3" s="3">
        <v>0</v>
      </c>
      <c r="P3" s="3">
        <v>0</v>
      </c>
      <c r="Q3" s="3">
        <v>1</v>
      </c>
      <c r="S3" s="6">
        <f xml:space="preserve"> (B3*2^15)+(C3*2^14)+(D3*2^13)+(E3*2^12)+(F3*2^11)+(G3*2^10)+(H3*2^9)+(I3*2^8)+(J3*2^7)+(K3*2^6)+(L3*2^5)+(M3*2^4)+(N3*2^3)+(O3*2^2)+(P3*2^1)+(Q3*2^0)</f>
        <v>9</v>
      </c>
      <c r="AA3" s="3" t="s">
        <v>10</v>
      </c>
      <c r="AC3" s="10" t="str">
        <f>"0x"&amp;DEC2HEX((B3*2^15)+(C3*2^14)+(D3*2^13)+(E3*2^12)+(F3*2^11)+(G3*2^10)+(H3*2^9)+(I3*2^8)+(J3*2^7)+(K3*2^6)+(L3*2^5)+(M3*2^4)+(N3*2^3)+(O3*2^2)+(P3*2^1)+(Q3*2^0),4)</f>
        <v>0x0009</v>
      </c>
      <c r="AD3" s="16"/>
    </row>
    <row r="4" spans="1:30">
      <c r="A4" t="s">
        <v>4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1</v>
      </c>
      <c r="N4" s="3">
        <v>0</v>
      </c>
      <c r="O4" s="3">
        <v>0</v>
      </c>
      <c r="P4" s="3">
        <v>0</v>
      </c>
      <c r="Q4" s="3">
        <v>1</v>
      </c>
      <c r="S4" s="6">
        <f xml:space="preserve"> (B4*2^15)+(C4*2^14)+(D4*2^13)+(E4*2^12)+(F4*2^11)+(G4*2^10)+(H4*2^9)+(I4*2^8)+(J4*2^7)+(K4*2^6)+(L4*2^5)+(M4*2^4)+(N4*2^3)+(O4*2^2)+(P4*2^1)+(Q4*2^0)</f>
        <v>17</v>
      </c>
      <c r="U4" s="3">
        <f>--(S4=0)</f>
        <v>0</v>
      </c>
      <c r="V4" s="3">
        <f>--(B4=1)</f>
        <v>0</v>
      </c>
      <c r="W4" s="3">
        <f>--OR(AND(B2=1,B3=1,B4=0),AND(B2=0,B3=0,B4=1))</f>
        <v>0</v>
      </c>
      <c r="X4" s="3">
        <f>--OR(AND(B2=1,B3=1),AND(B3=1,B4=0),AND(B4=0,B2=1))</f>
        <v>0</v>
      </c>
      <c r="Y4" s="3">
        <f>--OR(AND(V4=1,W4=0),AND(V4=0,W4=1))</f>
        <v>0</v>
      </c>
      <c r="AA4" s="3" t="s">
        <v>10</v>
      </c>
      <c r="AB4" s="8">
        <f>--(((B2*2^15)+(C2*2^14)+(D2*2^13)+(E2*2^12)+(F2*2^11)+(G2*2^10)+(H2*2^9)+(I2*2^8)+(J2*2^7)+(K2*2^6)+(L2*2^5)+(M2*2^4)+(N2*2^3)+(O2*2^2)+(P2*2^1)+(Q2*2^0))+( (B3*2^15)+(C3*2^14)+(D3*2^13)+(E3*2^12)+(F3*2^11)+(G3*2^10)+(H3*2^9)+(I3*2^8)+(J3*2^7)+(K3*2^6)+(L3*2^5)+(M3*2^4)+(N3*2^3)+(O3*2^2)+(P3*2^1)+(Q3*2^0))&gt;65535)</f>
        <v>0</v>
      </c>
      <c r="AC4" s="10" t="str">
        <f>"0x"&amp;DEC2HEX((B4*2^15)+(C4*2^14)+(D4*2^13)+(E4*2^12)+(F4*2^11)+(G4*2^10)+(H4*2^9)+(I4*2^8)+(J4*2^7)+(K4*2^6)+(L4*2^5)+(M4*2^4)+(N4*2^3)+(O4*2^2)+(P4*2^1)+(Q4*2^0),4)</f>
        <v>0x0011</v>
      </c>
      <c r="AD4" s="16"/>
    </row>
    <row r="5" spans="1:30">
      <c r="AD5" s="16"/>
    </row>
    <row r="6" spans="1:30">
      <c r="A6" t="s">
        <v>1</v>
      </c>
      <c r="B6" s="3">
        <v>0</v>
      </c>
      <c r="C6" s="3">
        <v>1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S6" s="6">
        <f xml:space="preserve"> (B6*2^15)+(C6*2^14)+(D6*2^13)+(E6*2^12)+(F6*2^11)+(G6*2^10)+(H6*2^9)+(I6*2^8)+(J6*2^7)+(K6*2^6)+(L6*2^5)+(M6*2^4)+(N6*2^3)+(O6*2^2)+(P6*2^1)+(Q6*2^0)</f>
        <v>16384</v>
      </c>
      <c r="AA6" t="s">
        <v>13</v>
      </c>
      <c r="AC6" s="10" t="str">
        <f>"0x"&amp;DEC2HEX((B6*2^15)+(C6*2^14)+(D6*2^13)+(E6*2^12)+(F6*2^11)+(G6*2^10)+(H6*2^9)+(I6*2^8)+(J6*2^7)+(K6*2^6)+(L6*2^5)+(M6*2^4)+(N6*2^3)+(O6*2^2)+(P6*2^1)+(Q6*2^0),4)</f>
        <v>0x4000</v>
      </c>
      <c r="AD6" s="16"/>
    </row>
    <row r="7" spans="1:30">
      <c r="A7" t="s">
        <v>2</v>
      </c>
      <c r="B7" s="3">
        <v>0</v>
      </c>
      <c r="C7" s="3">
        <v>1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S7" s="6">
        <f xml:space="preserve"> (B7*2^15)+(C7*2^14)+(D7*2^13)+(E7*2^12)+(F7*2^11)+(G7*2^10)+(H7*2^9)+(I7*2^8)+(J7*2^7)+(K7*2^6)+(L7*2^5)+(M7*2^4)+(N7*2^3)+(O7*2^2)+(P7*2^1)+(Q7*2^0)</f>
        <v>16384</v>
      </c>
      <c r="AA7" t="s">
        <v>13</v>
      </c>
      <c r="AC7" s="10" t="str">
        <f>"0x"&amp;DEC2HEX((B7*2^15)+(C7*2^14)+(D7*2^13)+(E7*2^12)+(F7*2^11)+(G7*2^10)+(H7*2^9)+(I7*2^8)+(J7*2^7)+(K7*2^6)+(L7*2^5)+(M7*2^4)+(N7*2^3)+(O7*2^2)+(P7*2^1)+(Q7*2^0),4)</f>
        <v>0x4000</v>
      </c>
      <c r="AD7" s="16"/>
    </row>
    <row r="8" spans="1:30">
      <c r="A8" t="s">
        <v>4</v>
      </c>
      <c r="B8" s="3">
        <v>1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S8" s="6">
        <f xml:space="preserve"> (B8*2^15)+(C8*2^14)+(D8*2^13)+(E8*2^12)+(F8*2^11)+(G8*2^10)+(H8*2^9)+(I8*2^8)+(J8*2^7)+(K8*2^6)+(L8*2^5)+(M8*2^4)+(N8*2^3)+(O8*2^2)+(P8*2^1)+(Q8*2^0)</f>
        <v>32768</v>
      </c>
      <c r="U8" s="3">
        <f>--(S8=0)</f>
        <v>0</v>
      </c>
      <c r="V8" s="3">
        <f>--(B8=1)</f>
        <v>1</v>
      </c>
      <c r="W8" s="3">
        <f>--OR(AND(B6=1,B7=1,B8=0),AND(B6=0,B7=0,B8=1))</f>
        <v>1</v>
      </c>
      <c r="X8" s="3">
        <f>--OR(AND(B6=1,B7=1),AND(B7=1,B8=0),AND(B8=0,B6=1))</f>
        <v>0</v>
      </c>
      <c r="Y8" s="3">
        <f>--OR(AND(V8=1,W8=0),AND(V8=0,W8=1))</f>
        <v>0</v>
      </c>
      <c r="AA8" t="s">
        <v>25</v>
      </c>
      <c r="AB8" s="8">
        <f>--(((B6*2^15)+(C6*2^14)+(D6*2^13)+(E6*2^12)+(F6*2^11)+(G6*2^10)+(H6*2^9)+(I6*2^8)+(J6*2^7)+(K6*2^6)+(L6*2^5)+(M6*2^4)+(N6*2^3)+(O6*2^2)+(P6*2^1)+(Q6*2^0))+( (B7*2^15)+(C7*2^14)+(D7*2^13)+(E7*2^12)+(F7*2^11)+(G7*2^10)+(H7*2^9)+(I7*2^8)+(J7*2^7)+(K7*2^6)+(L7*2^5)+(M7*2^4)+(N7*2^3)+(O7*2^2)+(P7*2^1)+(Q7*2^0))&gt;65535)</f>
        <v>0</v>
      </c>
      <c r="AC8" s="10" t="str">
        <f>"0x"&amp;DEC2HEX((B8*2^15)+(C8*2^14)+(D8*2^13)+(E8*2^12)+(F8*2^11)+(G8*2^10)+(H8*2^9)+(I8*2^8)+(J8*2^7)+(K8*2^6)+(L8*2^5)+(M8*2^4)+(N8*2^3)+(O8*2^2)+(P8*2^1)+(Q8*2^0),4)</f>
        <v>0x8000</v>
      </c>
      <c r="AD8" s="16"/>
    </row>
    <row r="9" spans="1:30">
      <c r="AD9" s="16"/>
    </row>
    <row r="10" spans="1:30">
      <c r="A10" t="s">
        <v>1</v>
      </c>
      <c r="B10" s="3">
        <v>1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S10" s="6">
        <f xml:space="preserve"> (B10*2^15)+(C10*2^14)+(D10*2^13)+(E10*2^12)+(F10*2^11)+(G10*2^10)+(H10*2^9)+(I10*2^8)+(J10*2^7)+(K10*2^6)+(L10*2^5)+(M10*2^4)+(N10*2^3)+(O10*2^2)+(P10*2^1)+(Q10*2^0)</f>
        <v>32768</v>
      </c>
      <c r="AA10" t="s">
        <v>14</v>
      </c>
      <c r="AC10" s="10" t="str">
        <f>"0x"&amp;DEC2HEX((B10*2^15)+(C10*2^14)+(D10*2^13)+(E10*2^12)+(F10*2^11)+(G10*2^10)+(H10*2^9)+(I10*2^8)+(J10*2^7)+(K10*2^6)+(L10*2^5)+(M10*2^4)+(N10*2^3)+(O10*2^2)+(P10*2^1)+(Q10*2^0),4)</f>
        <v>0x8000</v>
      </c>
      <c r="AD10" s="16"/>
    </row>
    <row r="11" spans="1:30">
      <c r="A11" t="s">
        <v>2</v>
      </c>
      <c r="B11" s="3">
        <v>1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S11" s="6">
        <f xml:space="preserve"> (B11*2^15)+(C11*2^14)+(D11*2^13)+(E11*2^12)+(F11*2^11)+(G11*2^10)+(H11*2^9)+(I11*2^8)+(J11*2^7)+(K11*2^6)+(L11*2^5)+(M11*2^4)+(N11*2^3)+(O11*2^2)+(P11*2^1)+(Q11*2^0)</f>
        <v>32768</v>
      </c>
      <c r="AA11" t="s">
        <v>14</v>
      </c>
      <c r="AC11" s="10" t="str">
        <f>"0x"&amp;DEC2HEX((B11*2^15)+(C11*2^14)+(D11*2^13)+(E11*2^12)+(F11*2^11)+(G11*2^10)+(H11*2^9)+(I11*2^8)+(J11*2^7)+(K11*2^6)+(L11*2^5)+(M11*2^4)+(N11*2^3)+(O11*2^2)+(P11*2^1)+(Q11*2^0),4)</f>
        <v>0x8000</v>
      </c>
      <c r="AD11" s="16"/>
    </row>
    <row r="12" spans="1:30">
      <c r="A12" t="s">
        <v>4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S12" s="6">
        <f xml:space="preserve"> (B12*2^15)+(C12*2^14)+(D12*2^13)+(E12*2^12)+(F12*2^11)+(G12*2^10)+(H12*2^9)+(I12*2^8)+(J12*2^7)+(K12*2^6)+(L12*2^5)+(M12*2^4)+(N12*2^3)+(O12*2^2)+(P12*2^1)+(Q12*2^0)</f>
        <v>0</v>
      </c>
      <c r="U12" s="3">
        <f>--(S12=0)</f>
        <v>1</v>
      </c>
      <c r="V12" s="3">
        <f>--(B12=1)</f>
        <v>0</v>
      </c>
      <c r="W12" s="3">
        <f>--OR(AND(B10=1,B11=1,B12=0),AND(B10=0,B11=0,B12=1))</f>
        <v>1</v>
      </c>
      <c r="X12" s="3">
        <f>--OR(AND(B10=1,B11=1),AND(B11=1,B12=0),AND(B12=0,B10=1))</f>
        <v>1</v>
      </c>
      <c r="Y12" s="3">
        <f>--OR(AND(V12=1,W12=0),AND(V12=0,W12=1))</f>
        <v>1</v>
      </c>
      <c r="AA12" t="s">
        <v>15</v>
      </c>
      <c r="AB12" s="8">
        <f>--(((B10*2^15)+(C10*2^14)+(D10*2^13)+(E10*2^12)+(F10*2^11)+(G10*2^10)+(H10*2^9)+(I10*2^8)+(J10*2^7)+(K10*2^6)+(L10*2^5)+(M10*2^4)+(N10*2^3)+(O10*2^2)+(P10*2^1)+(Q10*2^0))+( (B11*2^15)+(C11*2^14)+(D11*2^13)+(E11*2^12)+(F11*2^11)+(G11*2^10)+(H11*2^9)+(I11*2^8)+(J11*2^7)+(K11*2^6)+(L11*2^5)+(M11*2^4)+(N11*2^3)+(O11*2^2)+(P11*2^1)+(Q11*2^0))&gt;65535)</f>
        <v>1</v>
      </c>
      <c r="AC12" s="10" t="str">
        <f>"0x"&amp;DEC2HEX((B12*2^15)+(C12*2^14)+(D12*2^13)+(E12*2^12)+(F12*2^11)+(G12*2^10)+(H12*2^9)+(I12*2^8)+(J12*2^7)+(K12*2^6)+(L12*2^5)+(M12*2^4)+(N12*2^3)+(O12*2^2)+(P12*2^1)+(Q12*2^0),4)</f>
        <v>0x0000</v>
      </c>
      <c r="AD12" s="16"/>
    </row>
    <row r="13" spans="1:30">
      <c r="AD13" s="16"/>
    </row>
    <row r="14" spans="1:30">
      <c r="A14" t="s">
        <v>1</v>
      </c>
      <c r="B14" s="3">
        <v>1</v>
      </c>
      <c r="C14" s="3">
        <v>1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  <c r="I14" s="3">
        <v>1</v>
      </c>
      <c r="J14" s="3">
        <v>1</v>
      </c>
      <c r="K14" s="3">
        <v>1</v>
      </c>
      <c r="L14" s="3">
        <v>1</v>
      </c>
      <c r="M14" s="3">
        <v>1</v>
      </c>
      <c r="N14" s="3">
        <v>1</v>
      </c>
      <c r="O14" s="3">
        <v>1</v>
      </c>
      <c r="P14" s="3">
        <v>1</v>
      </c>
      <c r="Q14" s="3">
        <v>1</v>
      </c>
      <c r="S14" s="6">
        <f xml:space="preserve"> (-B14*2^15)+(C14*2^14)+(D14*2^13)+(E14*2^12)+(F14*2^11)+(G14*2^10)+(H14*2^9)+(I14*2^8)+(J14*2^7)+(K14*2^6)+(L14*2^5)+(M14*2^4)+(N14*2^3)+(O14*2^2)+(P14*2^1)+(Q14*2^0)</f>
        <v>-1</v>
      </c>
      <c r="AA14" t="s">
        <v>16</v>
      </c>
      <c r="AC14" s="10" t="str">
        <f>"0x"&amp;DEC2HEX((B14*2^15)+(C14*2^14)+(D14*2^13)+(E14*2^12)+(F14*2^11)+(G14*2^10)+(H14*2^9)+(I14*2^8)+(J14*2^7)+(K14*2^6)+(L14*2^5)+(M14*2^4)+(N14*2^3)+(O14*2^2)+(P14*2^1)+(Q14*2^0),4)</f>
        <v>0xFFFF</v>
      </c>
      <c r="AD14" s="16"/>
    </row>
    <row r="15" spans="1:30">
      <c r="A15" t="s">
        <v>2</v>
      </c>
      <c r="B15" s="3">
        <v>1</v>
      </c>
      <c r="C15" s="3">
        <v>1</v>
      </c>
      <c r="D15" s="3">
        <v>1</v>
      </c>
      <c r="E15" s="3">
        <v>1</v>
      </c>
      <c r="F15" s="3">
        <v>1</v>
      </c>
      <c r="G15" s="3">
        <v>1</v>
      </c>
      <c r="H15" s="3">
        <v>1</v>
      </c>
      <c r="I15" s="3">
        <v>1</v>
      </c>
      <c r="J15" s="3">
        <v>1</v>
      </c>
      <c r="K15" s="3">
        <v>1</v>
      </c>
      <c r="L15" s="3">
        <v>1</v>
      </c>
      <c r="M15" s="3">
        <v>1</v>
      </c>
      <c r="N15" s="3">
        <v>1</v>
      </c>
      <c r="O15" s="3">
        <v>1</v>
      </c>
      <c r="P15" s="3">
        <v>1</v>
      </c>
      <c r="Q15" s="3">
        <v>1</v>
      </c>
      <c r="S15" s="6">
        <f t="shared" ref="S15" si="0" xml:space="preserve"> (-B15*2^15)+(C15*2^14)+(D15*2^13)+(E15*2^12)+(F15*2^11)+(G15*2^10)+(H15*2^9)+(I15*2^8)+(J15*2^7)+(K15*2^6)+(L15*2^5)+(M15*2^4)+(N15*2^3)+(O15*2^2)+(P15*2^1)+(Q15*2^0)</f>
        <v>-1</v>
      </c>
      <c r="AA15" t="s">
        <v>17</v>
      </c>
      <c r="AC15" s="10" t="str">
        <f>"0x"&amp;DEC2HEX((B15*2^15)+(C15*2^14)+(D15*2^13)+(E15*2^12)+(F15*2^11)+(G15*2^10)+(H15*2^9)+(I15*2^8)+(J15*2^7)+(K15*2^6)+(L15*2^5)+(M15*2^4)+(N15*2^3)+(O15*2^2)+(P15*2^1)+(Q15*2^0),4)</f>
        <v>0xFFFF</v>
      </c>
      <c r="AD15" s="16"/>
    </row>
    <row r="16" spans="1:30">
      <c r="A16" t="s">
        <v>4</v>
      </c>
      <c r="B16" s="3">
        <v>1</v>
      </c>
      <c r="C16" s="3">
        <v>1</v>
      </c>
      <c r="D16" s="3">
        <v>1</v>
      </c>
      <c r="E16" s="3">
        <v>1</v>
      </c>
      <c r="F16" s="3">
        <v>1</v>
      </c>
      <c r="G16" s="3">
        <v>1</v>
      </c>
      <c r="H16" s="3">
        <v>1</v>
      </c>
      <c r="I16" s="3">
        <v>1</v>
      </c>
      <c r="J16" s="3">
        <v>1</v>
      </c>
      <c r="K16" s="3">
        <v>1</v>
      </c>
      <c r="L16" s="3">
        <v>1</v>
      </c>
      <c r="M16" s="3">
        <v>1</v>
      </c>
      <c r="N16" s="3">
        <v>1</v>
      </c>
      <c r="O16" s="3">
        <v>1</v>
      </c>
      <c r="P16" s="3">
        <v>1</v>
      </c>
      <c r="Q16" s="3">
        <v>0</v>
      </c>
      <c r="S16" s="6">
        <f xml:space="preserve"> (-B16*2^15)+(C16*2^14)+(D16*2^13)+(E16*2^12)+(F16*2^11)+(G16*2^10)+(H16*2^9)+(I16*2^8)+(J16*2^7)+(K16*2^6)+(L16*2^5)+(M16*2^4)+(N16*2^3)+(O16*2^2)+(P16*2^1)+(Q16*2^0)</f>
        <v>-2</v>
      </c>
      <c r="U16" s="3">
        <f>--(S16=0)</f>
        <v>0</v>
      </c>
      <c r="V16" s="3">
        <f>--(B16=1)</f>
        <v>1</v>
      </c>
      <c r="W16" s="3">
        <f>--OR(AND(B14=1,B15=1,B16=0),AND(B14=0,B15=0,B16=1))</f>
        <v>0</v>
      </c>
      <c r="X16" s="3">
        <f>--OR(AND(B14=1,B15=1),AND(B15=1,B16=0),AND(B16=0,B14=1))</f>
        <v>1</v>
      </c>
      <c r="Y16" s="3">
        <f>--OR(AND(V16=1,W16=0),AND(V16=0,W16=1))</f>
        <v>1</v>
      </c>
      <c r="AA16" t="s">
        <v>17</v>
      </c>
      <c r="AB16" s="8">
        <f>--(((B14*2^15)+(C14*2^14)+(D14*2^13)+(E14*2^12)+(F14*2^11)+(G14*2^10)+(H14*2^9)+(I14*2^8)+(J14*2^7)+(K14*2^6)+(L14*2^5)+(M14*2^4)+(N14*2^3)+(O14*2^2)+(P14*2^1)+(Q14*2^0))+( (B15*2^15)+(C15*2^14)+(D15*2^13)+(E15*2^12)+(F15*2^11)+(G15*2^10)+(H15*2^9)+(I15*2^8)+(J15*2^7)+(K15*2^6)+(L15*2^5)+(M15*2^4)+(N15*2^3)+(O15*2^2)+(P15*2^1)+(Q15*2^0))&gt;65535)</f>
        <v>1</v>
      </c>
      <c r="AC16" s="10" t="str">
        <f>"0x"&amp;DEC2HEX((B16*2^15)+(C16*2^14)+(D16*2^13)+(E16*2^12)+(F16*2^11)+(G16*2^10)+(H16*2^9)+(I16*2^8)+(J16*2^7)+(K16*2^6)+(L16*2^5)+(M16*2^4)+(N16*2^3)+(O16*2^2)+(P16*2^1)+(Q16*2^0),4)</f>
        <v>0xFFFE</v>
      </c>
      <c r="AD16" s="16"/>
    </row>
    <row r="17" spans="1:30">
      <c r="AD17" s="16"/>
    </row>
    <row r="18" spans="1:30">
      <c r="A18" t="s">
        <v>1</v>
      </c>
      <c r="B18" s="3">
        <v>1</v>
      </c>
      <c r="C18" s="3">
        <v>1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S18" s="6">
        <f xml:space="preserve"> (-B18*2^15)+(C18*2^14)+(D18*2^13)+(E18*2^12)+(F18*2^11)+(G18*2^10)+(H18*2^9)+(I18*2^8)+(J18*2^7)+(K18*2^6)+(L18*2^5)+(M18*2^4)+(N18*2^3)+(O18*2^2)+(P18*2^1)+(Q18*2^0)</f>
        <v>-16384</v>
      </c>
      <c r="AA18" t="s">
        <v>16</v>
      </c>
      <c r="AC18" s="10" t="str">
        <f>"0x"&amp;DEC2HEX((B18*2^15)+(C18*2^14)+(D18*2^13)+(E18*2^12)+(F18*2^11)+(G18*2^10)+(H18*2^9)+(I18*2^8)+(J18*2^7)+(K18*2^6)+(L18*2^5)+(M18*2^4)+(N18*2^3)+(O18*2^2)+(P18*2^1)+(Q18*2^0),4)</f>
        <v>0xC000</v>
      </c>
      <c r="AD18" s="16"/>
    </row>
    <row r="19" spans="1:30">
      <c r="A19" t="s">
        <v>2</v>
      </c>
      <c r="B19" s="3">
        <v>1</v>
      </c>
      <c r="C19" s="3">
        <v>1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S19" s="6">
        <f t="shared" ref="S19" si="1" xml:space="preserve"> (-B19*2^15)+(C19*2^14)+(D19*2^13)+(E19*2^12)+(F19*2^11)+(G19*2^10)+(H19*2^9)+(I19*2^8)+(J19*2^7)+(K19*2^6)+(L19*2^5)+(M19*2^4)+(N19*2^3)+(O19*2^2)+(P19*2^1)+(Q19*2^0)</f>
        <v>-16384</v>
      </c>
      <c r="AA19" t="s">
        <v>17</v>
      </c>
      <c r="AC19" s="10" t="str">
        <f>"0x"&amp;DEC2HEX((B19*2^15)+(C19*2^14)+(D19*2^13)+(E19*2^12)+(F19*2^11)+(G19*2^10)+(H19*2^9)+(I19*2^8)+(J19*2^7)+(K19*2^6)+(L19*2^5)+(M19*2^4)+(N19*2^3)+(O19*2^2)+(P19*2^1)+(Q19*2^0),4)</f>
        <v>0xC000</v>
      </c>
      <c r="AD19" s="16"/>
    </row>
    <row r="20" spans="1:30">
      <c r="A20" t="s">
        <v>4</v>
      </c>
      <c r="B20" s="3">
        <v>1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S20" s="6">
        <f xml:space="preserve"> (-B20*2^15)+(C20*2^14)+(D20*2^13)+(E20*2^12)+(F20*2^11)+(G20*2^10)+(H20*2^9)+(I20*2^8)+(J20*2^7)+(K20*2^6)+(L20*2^5)+(M20*2^4)+(N20*2^3)+(O20*2^2)+(P20*2^1)+(Q20*2^0)</f>
        <v>-32768</v>
      </c>
      <c r="U20" s="3">
        <f>--(S20=0)</f>
        <v>0</v>
      </c>
      <c r="V20" s="3">
        <f>--(B20=1)</f>
        <v>1</v>
      </c>
      <c r="W20" s="3">
        <f>--OR(AND(B18=1,B19=1,B20=0),AND(B18=0,B19=0,B20=1))</f>
        <v>0</v>
      </c>
      <c r="X20" s="3">
        <f>--OR(AND(B18=1,B19=1),AND(B19=1,B20=0),AND(B20=0,B18=1))</f>
        <v>1</v>
      </c>
      <c r="Y20" s="3">
        <f>--OR(AND(V20=1,W20=0),AND(V20=0,W20=1))</f>
        <v>1</v>
      </c>
      <c r="AA20" t="s">
        <v>17</v>
      </c>
      <c r="AB20" s="8">
        <f>--(((B18*2^15)+(C18*2^14)+(D18*2^13)+(E18*2^12)+(F18*2^11)+(G18*2^10)+(H18*2^9)+(I18*2^8)+(J18*2^7)+(K18*2^6)+(L18*2^5)+(M18*2^4)+(N18*2^3)+(O18*2^2)+(P18*2^1)+(Q18*2^0))+( (B19*2^15)+(C19*2^14)+(D19*2^13)+(E19*2^12)+(F19*2^11)+(G19*2^10)+(H19*2^9)+(I19*2^8)+(J19*2^7)+(K19*2^6)+(L19*2^5)+(M19*2^4)+(N19*2^3)+(O19*2^2)+(P19*2^1)+(Q19*2^0))&gt;65535)</f>
        <v>1</v>
      </c>
      <c r="AC20" s="10" t="str">
        <f>"0x"&amp;DEC2HEX((B20*2^15)+(C20*2^14)+(D20*2^13)+(E20*2^12)+(F20*2^11)+(G20*2^10)+(H20*2^9)+(I20*2^8)+(J20*2^7)+(K20*2^6)+(L20*2^5)+(M20*2^4)+(N20*2^3)+(O20*2^2)+(P20*2^1)+(Q20*2^0),4)</f>
        <v>0x8000</v>
      </c>
      <c r="AD20" s="16"/>
    </row>
    <row r="21" spans="1:30">
      <c r="AD21" s="16"/>
    </row>
    <row r="22" spans="1:30">
      <c r="A22" t="s">
        <v>1</v>
      </c>
      <c r="B22" s="3">
        <v>1</v>
      </c>
      <c r="C22" s="3">
        <v>1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S22" s="6">
        <f xml:space="preserve"> (-B22*2^15)+(C22*2^14)+(D22*2^13)+(E22*2^12)+(F22*2^11)+(G22*2^10)+(H22*2^9)+(I22*2^8)+(J22*2^7)+(K22*2^6)+(L22*2^5)+(M22*2^4)+(N22*2^3)+(O22*2^2)+(P22*2^1)+(Q22*2^0)</f>
        <v>-16384</v>
      </c>
      <c r="AA22" t="s">
        <v>16</v>
      </c>
      <c r="AC22" s="10" t="str">
        <f>"0x"&amp;DEC2HEX((B22*2^15)+(C22*2^14)+(D22*2^13)+(E22*2^12)+(F22*2^11)+(G22*2^10)+(H22*2^9)+(I22*2^8)+(J22*2^7)+(K22*2^6)+(L22*2^5)+(M22*2^4)+(N22*2^3)+(O22*2^2)+(P22*2^1)+(Q22*2^0),4)</f>
        <v>0xC000</v>
      </c>
      <c r="AD22" s="16"/>
    </row>
    <row r="23" spans="1:30">
      <c r="A23" t="s">
        <v>2</v>
      </c>
      <c r="B23" s="3">
        <v>1</v>
      </c>
      <c r="C23" s="3">
        <v>0</v>
      </c>
      <c r="D23" s="3">
        <v>1</v>
      </c>
      <c r="E23" s="3">
        <v>1</v>
      </c>
      <c r="F23" s="3">
        <v>1</v>
      </c>
      <c r="G23" s="3">
        <v>1</v>
      </c>
      <c r="H23" s="3">
        <v>1</v>
      </c>
      <c r="I23" s="3">
        <v>1</v>
      </c>
      <c r="J23" s="3">
        <v>1</v>
      </c>
      <c r="K23" s="3">
        <v>1</v>
      </c>
      <c r="L23" s="3">
        <v>1</v>
      </c>
      <c r="M23" s="3">
        <v>1</v>
      </c>
      <c r="N23" s="3">
        <v>1</v>
      </c>
      <c r="O23" s="3">
        <v>1</v>
      </c>
      <c r="P23" s="3">
        <v>1</v>
      </c>
      <c r="Q23" s="3">
        <v>1</v>
      </c>
      <c r="S23" s="6">
        <f t="shared" ref="S23" si="2" xml:space="preserve"> (-B23*2^15)+(C23*2^14)+(D23*2^13)+(E23*2^12)+(F23*2^11)+(G23*2^10)+(H23*2^9)+(I23*2^8)+(J23*2^7)+(K23*2^6)+(L23*2^5)+(M23*2^4)+(N23*2^3)+(O23*2^2)+(P23*2^1)+(Q23*2^0)</f>
        <v>-16385</v>
      </c>
      <c r="AA23" t="s">
        <v>17</v>
      </c>
      <c r="AC23" s="10" t="str">
        <f>"0x"&amp;DEC2HEX((B23*2^15)+(C23*2^14)+(D23*2^13)+(E23*2^12)+(F23*2^11)+(G23*2^10)+(H23*2^9)+(I23*2^8)+(J23*2^7)+(K23*2^6)+(L23*2^5)+(M23*2^4)+(N23*2^3)+(O23*2^2)+(P23*2^1)+(Q23*2^0),4)</f>
        <v>0xBFFF</v>
      </c>
      <c r="AD23" s="16"/>
    </row>
    <row r="24" spans="1:30">
      <c r="A24" t="s">
        <v>4</v>
      </c>
      <c r="B24" s="3">
        <v>0</v>
      </c>
      <c r="C24" s="3">
        <v>1</v>
      </c>
      <c r="D24" s="3">
        <v>1</v>
      </c>
      <c r="E24" s="3">
        <v>1</v>
      </c>
      <c r="F24" s="3">
        <v>1</v>
      </c>
      <c r="G24" s="3">
        <v>1</v>
      </c>
      <c r="H24" s="3">
        <v>1</v>
      </c>
      <c r="I24" s="3">
        <v>1</v>
      </c>
      <c r="J24" s="3">
        <v>1</v>
      </c>
      <c r="K24" s="3">
        <v>1</v>
      </c>
      <c r="L24" s="3">
        <v>1</v>
      </c>
      <c r="M24" s="3">
        <v>1</v>
      </c>
      <c r="N24" s="3">
        <v>1</v>
      </c>
      <c r="O24" s="3">
        <v>1</v>
      </c>
      <c r="P24" s="3">
        <v>1</v>
      </c>
      <c r="Q24" s="3">
        <v>1</v>
      </c>
      <c r="S24" s="6">
        <f xml:space="preserve"> (-B24*2^15)+(C24*2^14)+(D24*2^13)+(E24*2^12)+(F24*2^11)+(G24*2^10)+(H24*2^9)+(I24*2^8)+(J24*2^7)+(K24*2^6)+(L24*2^5)+(M24*2^4)+(N24*2^3)+(O24*2^2)+(P24*2^1)+(Q24*2^0)</f>
        <v>32767</v>
      </c>
      <c r="U24" s="3">
        <f>--(S24=0)</f>
        <v>0</v>
      </c>
      <c r="V24" s="3">
        <f>--(B24=1)</f>
        <v>0</v>
      </c>
      <c r="W24" s="3">
        <f>--OR(AND(B22=1,B23=1,B24=0),AND(B22=0,B23=0,B24=1))</f>
        <v>1</v>
      </c>
      <c r="X24" s="3">
        <f>--OR(AND(B22=1,B23=1),AND(B23=1,B24=0),AND(B24=0,B22=1))</f>
        <v>1</v>
      </c>
      <c r="Y24" s="3">
        <f>--OR(AND(V24=1,W24=0),AND(V24=0,W24=1))</f>
        <v>1</v>
      </c>
      <c r="AA24" t="s">
        <v>17</v>
      </c>
      <c r="AB24" s="8">
        <f>--(((B22*2^15)+(C22*2^14)+(D22*2^13)+(E22*2^12)+(F22*2^11)+(G22*2^10)+(H22*2^9)+(I22*2^8)+(J22*2^7)+(K22*2^6)+(L22*2^5)+(M22*2^4)+(N22*2^3)+(O22*2^2)+(P22*2^1)+(Q22*2^0))+( (B23*2^15)+(C23*2^14)+(D23*2^13)+(E23*2^12)+(F23*2^11)+(G23*2^10)+(H23*2^9)+(I23*2^8)+(J23*2^7)+(K23*2^6)+(L23*2^5)+(M23*2^4)+(N23*2^3)+(O23*2^2)+(P23*2^1)+(Q23*2^0))&gt;65535)</f>
        <v>1</v>
      </c>
      <c r="AC24" s="10" t="str">
        <f>"0x"&amp;DEC2HEX((B24*2^15)+(C24*2^14)+(D24*2^13)+(E24*2^12)+(F24*2^11)+(G24*2^10)+(H24*2^9)+(I24*2^8)+(J24*2^7)+(K24*2^6)+(L24*2^5)+(M24*2^4)+(N24*2^3)+(O24*2^2)+(P24*2^1)+(Q24*2^0),4)</f>
        <v>0x7FFF</v>
      </c>
      <c r="AD24" s="16"/>
    </row>
    <row r="25" spans="1:30">
      <c r="AD25" s="16"/>
    </row>
    <row r="26" spans="1:30">
      <c r="A26" t="s">
        <v>1</v>
      </c>
      <c r="B26" s="3">
        <v>1</v>
      </c>
      <c r="C26" s="3">
        <v>1</v>
      </c>
      <c r="D26" s="3">
        <v>1</v>
      </c>
      <c r="E26" s="3">
        <v>1</v>
      </c>
      <c r="F26" s="3">
        <v>1</v>
      </c>
      <c r="G26" s="3">
        <v>1</v>
      </c>
      <c r="H26" s="3">
        <v>1</v>
      </c>
      <c r="I26" s="3">
        <v>1</v>
      </c>
      <c r="J26" s="3">
        <v>1</v>
      </c>
      <c r="K26" s="3">
        <v>1</v>
      </c>
      <c r="L26" s="3">
        <v>1</v>
      </c>
      <c r="M26" s="3">
        <v>1</v>
      </c>
      <c r="N26" s="3">
        <v>0</v>
      </c>
      <c r="O26" s="3">
        <v>0</v>
      </c>
      <c r="P26" s="3">
        <v>0</v>
      </c>
      <c r="Q26" s="3">
        <v>0</v>
      </c>
      <c r="S26" s="6">
        <f xml:space="preserve"> (-B26*2^15)+(C26*2^14)+(D26*2^13)+(E26*2^12)+(F26*2^11)+(G26*2^10)+(H26*2^9)+(I26*2^8)+(J26*2^7)+(K26*2^6)+(L26*2^5)+(M26*2^4)+(N26*2^3)+(O26*2^2)+(P26*2^1)+(Q26*2^0)</f>
        <v>-16</v>
      </c>
      <c r="AA26" t="s">
        <v>16</v>
      </c>
      <c r="AC26" s="10" t="str">
        <f>"0x"&amp;DEC2HEX((B26*2^15)+(C26*2^14)+(D26*2^13)+(E26*2^12)+(F26*2^11)+(G26*2^10)+(H26*2^9)+(I26*2^8)+(J26*2^7)+(K26*2^6)+(L26*2^5)+(M26*2^4)+(N26*2^3)+(O26*2^2)+(P26*2^1)+(Q26*2^0),4)</f>
        <v>0xFFF0</v>
      </c>
      <c r="AD26" s="16"/>
    </row>
    <row r="27" spans="1:30">
      <c r="A27" t="s">
        <v>2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1</v>
      </c>
      <c r="P27" s="3">
        <v>1</v>
      </c>
      <c r="Q27" s="3">
        <v>0</v>
      </c>
      <c r="S27" s="6">
        <f t="shared" ref="S27" si="3" xml:space="preserve"> (-B27*2^15)+(C27*2^14)+(D27*2^13)+(E27*2^12)+(F27*2^11)+(G27*2^10)+(H27*2^9)+(I27*2^8)+(J27*2^7)+(K27*2^6)+(L27*2^5)+(M27*2^4)+(N27*2^3)+(O27*2^2)+(P27*2^1)+(Q27*2^0)</f>
        <v>6</v>
      </c>
      <c r="AA27" t="s">
        <v>18</v>
      </c>
      <c r="AC27" s="10" t="str">
        <f>"0x"&amp;DEC2HEX((B27*2^15)+(C27*2^14)+(D27*2^13)+(E27*2^12)+(F27*2^11)+(G27*2^10)+(H27*2^9)+(I27*2^8)+(J27*2^7)+(K27*2^6)+(L27*2^5)+(M27*2^4)+(N27*2^3)+(O27*2^2)+(P27*2^1)+(Q27*2^0),4)</f>
        <v>0x0006</v>
      </c>
      <c r="AD27" s="16"/>
    </row>
    <row r="28" spans="1:30">
      <c r="A28" t="s">
        <v>4</v>
      </c>
      <c r="B28" s="3">
        <v>1</v>
      </c>
      <c r="C28" s="3">
        <v>1</v>
      </c>
      <c r="D28" s="3">
        <v>1</v>
      </c>
      <c r="E28" s="3">
        <v>1</v>
      </c>
      <c r="F28" s="3">
        <v>1</v>
      </c>
      <c r="G28" s="3">
        <v>1</v>
      </c>
      <c r="H28" s="3">
        <v>1</v>
      </c>
      <c r="I28" s="3">
        <v>1</v>
      </c>
      <c r="J28" s="3">
        <v>1</v>
      </c>
      <c r="K28" s="3">
        <v>1</v>
      </c>
      <c r="L28" s="3">
        <v>1</v>
      </c>
      <c r="M28" s="3">
        <v>1</v>
      </c>
      <c r="N28" s="3">
        <v>0</v>
      </c>
      <c r="O28" s="3">
        <v>1</v>
      </c>
      <c r="P28" s="3">
        <v>1</v>
      </c>
      <c r="Q28" s="3">
        <v>0</v>
      </c>
      <c r="S28" s="6">
        <f xml:space="preserve"> (-B28*2^15)+(C28*2^14)+(D28*2^13)+(E28*2^12)+(F28*2^11)+(G28*2^10)+(H28*2^9)+(I28*2^8)+(J28*2^7)+(K28*2^6)+(L28*2^5)+(M28*2^4)+(N28*2^3)+(O28*2^2)+(P28*2^1)+(Q28*2^0)</f>
        <v>-10</v>
      </c>
      <c r="U28" s="3">
        <f>--(S28=0)</f>
        <v>0</v>
      </c>
      <c r="V28" s="3">
        <f>--(B28=1)</f>
        <v>1</v>
      </c>
      <c r="W28" s="3">
        <f>--OR(AND(B26=1,B27=1,B28=0),AND(B26=0,B27=0,B28=1))</f>
        <v>0</v>
      </c>
      <c r="X28" s="3">
        <f>--OR(AND(B26=1,B27=1),AND(B27=1,B28=0),AND(B28=0,B26=1))</f>
        <v>0</v>
      </c>
      <c r="Y28" s="3">
        <f>--OR(AND(V28=1,W28=0),AND(V28=0,W28=1))</f>
        <v>1</v>
      </c>
      <c r="AB28" s="8">
        <f>--(((B26*2^15)+(C26*2^14)+(D26*2^13)+(E26*2^12)+(F26*2^11)+(G26*2^10)+(H26*2^9)+(I26*2^8)+(J26*2^7)+(K26*2^6)+(L26*2^5)+(M26*2^4)+(N26*2^3)+(O26*2^2)+(P26*2^1)+(Q26*2^0))+( (B27*2^15)+(C27*2^14)+(D27*2^13)+(E27*2^12)+(F27*2^11)+(G27*2^10)+(H27*2^9)+(I27*2^8)+(J27*2^7)+(K27*2^6)+(L27*2^5)+(M27*2^4)+(N27*2^3)+(O27*2^2)+(P27*2^1)+(Q27*2^0))&gt;65535)</f>
        <v>0</v>
      </c>
      <c r="AC28" s="10" t="str">
        <f>"0x"&amp;DEC2HEX((B28*2^15)+(C28*2^14)+(D28*2^13)+(E28*2^12)+(F28*2^11)+(G28*2^10)+(H28*2^9)+(I28*2^8)+(J28*2^7)+(K28*2^6)+(L28*2^5)+(M28*2^4)+(N28*2^3)+(O28*2^2)+(P28*2^1)+(Q28*2^0),4)</f>
        <v>0xFFF6</v>
      </c>
      <c r="AD28" s="16"/>
    </row>
    <row r="29" spans="1:30">
      <c r="AD29" s="16"/>
    </row>
    <row r="30" spans="1:30">
      <c r="A30" t="s">
        <v>1</v>
      </c>
      <c r="B30" s="3">
        <v>1</v>
      </c>
      <c r="C30" s="3">
        <v>1</v>
      </c>
      <c r="D30" s="3">
        <v>1</v>
      </c>
      <c r="E30" s="3">
        <v>1</v>
      </c>
      <c r="F30" s="3">
        <v>1</v>
      </c>
      <c r="G30" s="3">
        <v>1</v>
      </c>
      <c r="H30" s="3">
        <v>1</v>
      </c>
      <c r="I30" s="3">
        <v>1</v>
      </c>
      <c r="J30" s="3">
        <v>1</v>
      </c>
      <c r="K30" s="3">
        <v>1</v>
      </c>
      <c r="L30" s="3">
        <v>1</v>
      </c>
      <c r="M30" s="3">
        <v>1</v>
      </c>
      <c r="N30" s="3">
        <v>1</v>
      </c>
      <c r="O30" s="3">
        <v>0</v>
      </c>
      <c r="P30" s="3">
        <v>1</v>
      </c>
      <c r="Q30" s="3">
        <v>0</v>
      </c>
      <c r="S30" s="6">
        <f xml:space="preserve"> (-B30*2^15)+(C30*2^14)+(D30*2^13)+(E30*2^12)+(F30*2^11)+(G30*2^10)+(H30*2^9)+(I30*2^8)+(J30*2^7)+(K30*2^6)+(L30*2^5)+(M30*2^4)+(N30*2^3)+(O30*2^2)+(P30*2^1)+(Q30*2^0)</f>
        <v>-6</v>
      </c>
      <c r="AA30" t="s">
        <v>16</v>
      </c>
      <c r="AC30" s="10" t="str">
        <f>"0x"&amp;DEC2HEX((B30*2^15)+(C30*2^14)+(D30*2^13)+(E30*2^12)+(F30*2^11)+(G30*2^10)+(H30*2^9)+(I30*2^8)+(J30*2^7)+(K30*2^6)+(L30*2^5)+(M30*2^4)+(N30*2^3)+(O30*2^2)+(P30*2^1)+(Q30*2^0),4)</f>
        <v>0xFFFA</v>
      </c>
      <c r="AD30" s="16"/>
    </row>
    <row r="31" spans="1:30">
      <c r="A31" t="s">
        <v>2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1</v>
      </c>
      <c r="P31" s="3">
        <v>1</v>
      </c>
      <c r="Q31" s="3">
        <v>0</v>
      </c>
      <c r="S31" s="6">
        <f t="shared" ref="S31" si="4" xml:space="preserve"> (-B31*2^15)+(C31*2^14)+(D31*2^13)+(E31*2^12)+(F31*2^11)+(G31*2^10)+(H31*2^9)+(I31*2^8)+(J31*2^7)+(K31*2^6)+(L31*2^5)+(M31*2^4)+(N31*2^3)+(O31*2^2)+(P31*2^1)+(Q31*2^0)</f>
        <v>6</v>
      </c>
      <c r="AA31" t="s">
        <v>18</v>
      </c>
      <c r="AC31" s="10" t="str">
        <f>"0x"&amp;DEC2HEX((B31*2^15)+(C31*2^14)+(D31*2^13)+(E31*2^12)+(F31*2^11)+(G31*2^10)+(H31*2^9)+(I31*2^8)+(J31*2^7)+(K31*2^6)+(L31*2^5)+(M31*2^4)+(N31*2^3)+(O31*2^2)+(P31*2^1)+(Q31*2^0),4)</f>
        <v>0x0006</v>
      </c>
      <c r="AD31" s="16"/>
    </row>
    <row r="32" spans="1:30">
      <c r="A32" t="s">
        <v>4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S32" s="6">
        <f xml:space="preserve"> (-B32*2^15)+(C32*2^14)+(D32*2^13)+(E32*2^12)+(F32*2^11)+(G32*2^10)+(H32*2^9)+(I32*2^8)+(J32*2^7)+(K32*2^6)+(L32*2^5)+(M32*2^4)+(N32*2^3)+(O32*2^2)+(P32*2^1)+(Q32*2^0)</f>
        <v>0</v>
      </c>
      <c r="U32" s="3">
        <f>--(S32=0)</f>
        <v>1</v>
      </c>
      <c r="V32" s="3">
        <f>--(B32=1)</f>
        <v>0</v>
      </c>
      <c r="W32" s="3">
        <f>--OR(AND(B30=1,B31=1,B32=0),AND(B30=0,B31=0,B32=1))</f>
        <v>0</v>
      </c>
      <c r="X32" s="3">
        <f>--OR(AND(B30=1,B31=1),AND(B31=1,B32=0),AND(B32=0,B30=1))</f>
        <v>1</v>
      </c>
      <c r="Y32" s="3">
        <f>--OR(AND(V32=1,W32=0),AND(V32=0,W32=1))</f>
        <v>0</v>
      </c>
      <c r="AB32" s="8">
        <f>--(((B30*2^15)+(C30*2^14)+(D30*2^13)+(E30*2^12)+(F30*2^11)+(G30*2^10)+(H30*2^9)+(I30*2^8)+(J30*2^7)+(K30*2^6)+(L30*2^5)+(M30*2^4)+(N30*2^3)+(O30*2^2)+(P30*2^1)+(Q30*2^0))+( (B31*2^15)+(C31*2^14)+(D31*2^13)+(E31*2^12)+(F31*2^11)+(G31*2^10)+(H31*2^9)+(I31*2^8)+(J31*2^7)+(K31*2^6)+(L31*2^5)+(M31*2^4)+(N31*2^3)+(O31*2^2)+(P31*2^1)+(Q31*2^0))&gt;65535)</f>
        <v>1</v>
      </c>
      <c r="AC32" s="10" t="str">
        <f>"0x"&amp;DEC2HEX((B32*2^15)+(C32*2^14)+(D32*2^13)+(E32*2^12)+(F32*2^11)+(G32*2^10)+(H32*2^9)+(I32*2^8)+(J32*2^7)+(K32*2^6)+(L32*2^5)+(M32*2^4)+(N32*2^3)+(O32*2^2)+(P32*2^1)+(Q32*2^0),4)</f>
        <v>0x0000</v>
      </c>
      <c r="AD32" s="16"/>
    </row>
    <row r="33" spans="1:30">
      <c r="AD33" s="16"/>
    </row>
    <row r="34" spans="1:30">
      <c r="A34" t="s">
        <v>1</v>
      </c>
      <c r="B34" s="3">
        <v>1</v>
      </c>
      <c r="C34" s="3">
        <v>1</v>
      </c>
      <c r="D34" s="3">
        <v>1</v>
      </c>
      <c r="E34" s="3">
        <v>1</v>
      </c>
      <c r="F34" s="3">
        <v>1</v>
      </c>
      <c r="G34" s="3">
        <v>1</v>
      </c>
      <c r="H34" s="3">
        <v>1</v>
      </c>
      <c r="I34" s="3">
        <v>1</v>
      </c>
      <c r="J34" s="3">
        <v>1</v>
      </c>
      <c r="K34" s="3">
        <v>1</v>
      </c>
      <c r="L34" s="3">
        <v>1</v>
      </c>
      <c r="M34" s="3">
        <v>1</v>
      </c>
      <c r="N34" s="3">
        <v>1</v>
      </c>
      <c r="O34" s="3">
        <v>0</v>
      </c>
      <c r="P34" s="3">
        <v>1</v>
      </c>
      <c r="Q34" s="3">
        <v>0</v>
      </c>
      <c r="S34" s="6">
        <f xml:space="preserve"> (-B34*2^15)+(C34*2^14)+(D34*2^13)+(E34*2^12)+(F34*2^11)+(G34*2^10)+(H34*2^9)+(I34*2^8)+(J34*2^7)+(K34*2^6)+(L34*2^5)+(M34*2^4)+(N34*2^3)+(O34*2^2)+(P34*2^1)+(Q34*2^0)</f>
        <v>-6</v>
      </c>
      <c r="AA34" t="s">
        <v>16</v>
      </c>
      <c r="AC34" s="10" t="str">
        <f>"0x"&amp;DEC2HEX((B34*2^15)+(C34*2^14)+(D34*2^13)+(E34*2^12)+(F34*2^11)+(G34*2^10)+(H34*2^9)+(I34*2^8)+(J34*2^7)+(K34*2^6)+(L34*2^5)+(M34*2^4)+(N34*2^3)+(O34*2^2)+(P34*2^1)+(Q34*2^0),4)</f>
        <v>0xFFFA</v>
      </c>
      <c r="AD34" s="16"/>
    </row>
    <row r="35" spans="1:30">
      <c r="A35" t="s">
        <v>2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1</v>
      </c>
      <c r="N35" s="3">
        <v>0</v>
      </c>
      <c r="O35" s="3">
        <v>0</v>
      </c>
      <c r="P35" s="3">
        <v>0</v>
      </c>
      <c r="Q35" s="3">
        <v>0</v>
      </c>
      <c r="S35" s="6">
        <f t="shared" ref="S35" si="5" xml:space="preserve"> (-B35*2^15)+(C35*2^14)+(D35*2^13)+(E35*2^12)+(F35*2^11)+(G35*2^10)+(H35*2^9)+(I35*2^8)+(J35*2^7)+(K35*2^6)+(L35*2^5)+(M35*2^4)+(N35*2^3)+(O35*2^2)+(P35*2^1)+(Q35*2^0)</f>
        <v>16</v>
      </c>
      <c r="AA35" t="s">
        <v>18</v>
      </c>
      <c r="AC35" s="10" t="str">
        <f>"0x"&amp;DEC2HEX((B35*2^15)+(C35*2^14)+(D35*2^13)+(E35*2^12)+(F35*2^11)+(G35*2^10)+(H35*2^9)+(I35*2^8)+(J35*2^7)+(K35*2^6)+(L35*2^5)+(M35*2^4)+(N35*2^3)+(O35*2^2)+(P35*2^1)+(Q35*2^0),4)</f>
        <v>0x0010</v>
      </c>
      <c r="AD35" s="16"/>
    </row>
    <row r="36" spans="1:30">
      <c r="A36" t="s">
        <v>4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1</v>
      </c>
      <c r="O36" s="3">
        <v>0</v>
      </c>
      <c r="P36" s="3">
        <v>1</v>
      </c>
      <c r="Q36" s="3">
        <v>0</v>
      </c>
      <c r="S36" s="6">
        <f xml:space="preserve"> (-B36*2^15)+(C36*2^14)+(D36*2^13)+(E36*2^12)+(F36*2^11)+(G36*2^10)+(H36*2^9)+(I36*2^8)+(J36*2^7)+(K36*2^6)+(L36*2^5)+(M36*2^4)+(N36*2^3)+(O36*2^2)+(P36*2^1)+(Q36*2^0)</f>
        <v>10</v>
      </c>
      <c r="U36" s="3">
        <f>--(S36=0)</f>
        <v>0</v>
      </c>
      <c r="V36" s="3">
        <f>--(B36=1)</f>
        <v>0</v>
      </c>
      <c r="W36" s="3">
        <f>--OR(AND(B34=1,B35=1,B36=0),AND(B34=0,B35=0,B36=1))</f>
        <v>0</v>
      </c>
      <c r="X36" s="3">
        <f>--OR(AND(B34=1,B35=1),AND(B35=1,B36=0),AND(B36=0,B34=1))</f>
        <v>1</v>
      </c>
      <c r="Y36" s="3">
        <f>--OR(AND(V36=1,W36=0),AND(V36=0,W36=1))</f>
        <v>0</v>
      </c>
      <c r="AB36" s="8">
        <f>--(((B34*2^15)+(C34*2^14)+(D34*2^13)+(E34*2^12)+(F34*2^11)+(G34*2^10)+(H34*2^9)+(I34*2^8)+(J34*2^7)+(K34*2^6)+(L34*2^5)+(M34*2^4)+(N34*2^3)+(O34*2^2)+(P34*2^1)+(Q34*2^0))+( (B35*2^15)+(C35*2^14)+(D35*2^13)+(E35*2^12)+(F35*2^11)+(G35*2^10)+(H35*2^9)+(I35*2^8)+(J35*2^7)+(K35*2^6)+(L35*2^5)+(M35*2^4)+(N35*2^3)+(O35*2^2)+(P35*2^1)+(Q35*2^0))&gt;65535)</f>
        <v>1</v>
      </c>
      <c r="AC36" s="10" t="str">
        <f>"0x"&amp;DEC2HEX((B36*2^15)+(C36*2^14)+(D36*2^13)+(E36*2^12)+(F36*2^11)+(G36*2^10)+(H36*2^9)+(I36*2^8)+(J36*2^7)+(K36*2^6)+(L36*2^5)+(M36*2^4)+(N36*2^3)+(O36*2^2)+(P36*2^1)+(Q36*2^0),4)</f>
        <v>0x000A</v>
      </c>
      <c r="AD36" s="16"/>
    </row>
    <row r="37" spans="1:30">
      <c r="A37" s="11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3"/>
      <c r="T37" s="11"/>
      <c r="U37" s="12"/>
      <c r="V37" s="12"/>
      <c r="W37" s="12"/>
      <c r="X37" s="12"/>
      <c r="Y37" s="12"/>
      <c r="Z37" s="11"/>
      <c r="AA37" s="11"/>
      <c r="AB37" s="14"/>
      <c r="AC37" s="15"/>
      <c r="AD37" s="16" t="s">
        <v>27</v>
      </c>
    </row>
    <row r="38" spans="1:30">
      <c r="A38" t="s">
        <v>1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1</v>
      </c>
      <c r="P38" s="3">
        <v>0</v>
      </c>
      <c r="Q38" s="3">
        <v>0</v>
      </c>
      <c r="S38" s="6">
        <f xml:space="preserve"> (-B38*2^15)+(C38*2^14)+(D38*2^13)+(E38*2^12)+(F38*2^11)+(G38*2^10)+(H38*2^9)+(I38*2^8)+(J38*2^7)+(K38*2^6)+(L38*2^5)+(M38*2^4)+(N38*2^3)+(O38*2^2)+(P38*2^1)+(Q38*2^0)</f>
        <v>4</v>
      </c>
      <c r="AA38" t="s">
        <v>18</v>
      </c>
      <c r="AC38" s="10" t="str">
        <f>"0x"&amp;DEC2HEX((B38*2^15)+(C38*2^14)+(D38*2^13)+(E38*2^12)+(F38*2^11)+(G38*2^10)+(H38*2^9)+(I38*2^8)+(J38*2^7)+(K38*2^6)+(L38*2^5)+(M38*2^4)+(N38*2^3)+(O38*2^2)+(P38*2^1)+(Q38*2^0),4)</f>
        <v>0x0004</v>
      </c>
      <c r="AD38" s="16"/>
    </row>
    <row r="39" spans="1:30">
      <c r="A39" t="s">
        <v>2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1</v>
      </c>
      <c r="Q39" s="3">
        <v>1</v>
      </c>
      <c r="S39" s="6">
        <f t="shared" ref="S39" si="6" xml:space="preserve"> (-B39*2^15)+(C39*2^14)+(D39*2^13)+(E39*2^12)+(F39*2^11)+(G39*2^10)+(H39*2^9)+(I39*2^8)+(J39*2^7)+(K39*2^6)+(L39*2^5)+(M39*2^4)+(N39*2^3)+(O39*2^2)+(P39*2^1)+(Q39*2^0)</f>
        <v>3</v>
      </c>
      <c r="AA39" t="s">
        <v>21</v>
      </c>
      <c r="AC39" s="10" t="str">
        <f>"0x"&amp;DEC2HEX((B39*2^15)+(C39*2^14)+(D39*2^13)+(E39*2^12)+(F39*2^11)+(G39*2^10)+(H39*2^9)+(I39*2^8)+(J39*2^7)+(K39*2^6)+(L39*2^5)+(M39*2^4)+(N39*2^3)+(O39*2^2)+(P39*2^1)+(Q39*2^0),4)</f>
        <v>0x0003</v>
      </c>
      <c r="AD39" s="16"/>
    </row>
    <row r="40" spans="1:30">
      <c r="A40" t="s">
        <v>19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1</v>
      </c>
      <c r="S40" s="6">
        <f xml:space="preserve"> (-B40*2^15)+(C40*2^14)+(D40*2^13)+(E40*2^12)+(F40*2^11)+(G40*2^10)+(H40*2^9)+(I40*2^8)+(J40*2^7)+(K40*2^6)+(L40*2^5)+(M40*2^4)+(N40*2^3)+(O40*2^2)+(P40*2^1)+(Q40*2^0)</f>
        <v>1</v>
      </c>
      <c r="U40" s="3">
        <f>--(S40=0)</f>
        <v>0</v>
      </c>
      <c r="V40" s="3">
        <f>--(B40=1)</f>
        <v>0</v>
      </c>
      <c r="W40" s="3">
        <f>--OR(AND(B38=1,B39=0,B40=0),AND(B38=0,B39=1,B40=1))</f>
        <v>0</v>
      </c>
      <c r="X40" s="3">
        <f>--OR(AND(B38=0,B39=1),AND(B3=38,B40=1),AND(B40=1,B38=0))</f>
        <v>0</v>
      </c>
      <c r="Y40" s="3">
        <f>--OR(AND(V40=1,W40=0),AND(V40=0,W40=1))</f>
        <v>0</v>
      </c>
      <c r="AB40" s="8">
        <f>--(((B38*2^15)+(C38*2^14)+(D38*2^13)+(E38*2^12)+(F38*2^11)+(G38*2^10)+(H38*2^9)+(I38*2^8)+(J38*2^7)+(K38*2^6)+(L38*2^5)+(M38*2^4)+(N38*2^3)+(O38*2^2)+(P38*2^1)+(Q38*2^0))&lt;( (B39*2^15)+(C39*2^14)+(D39*2^13)+(E39*2^12)+(F39*2^11)+(G39*2^10)+(H39*2^9)+(I39*2^8)+(J39*2^7)+(K39*2^6)+(L39*2^5)+(M39*2^4)+(N39*2^3)+(O39*2^2)+(P39*2^1)+(Q39*2^0)))</f>
        <v>0</v>
      </c>
      <c r="AC40" s="10" t="str">
        <f>"0x"&amp;DEC2HEX((B40*2^15)+(C40*2^14)+(D40*2^13)+(E40*2^12)+(F40*2^11)+(G40*2^10)+(H40*2^9)+(I40*2^8)+(J40*2^7)+(K40*2^6)+(L40*2^5)+(M40*2^4)+(N40*2^3)+(O40*2^2)+(P40*2^1)+(Q40*2^0),4)</f>
        <v>0x0001</v>
      </c>
      <c r="AD40" s="16"/>
    </row>
    <row r="41" spans="1:30">
      <c r="AD41" s="16"/>
    </row>
    <row r="42" spans="1:30">
      <c r="A42" t="s">
        <v>1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1</v>
      </c>
      <c r="Q42" s="3">
        <v>1</v>
      </c>
      <c r="S42" s="6">
        <f xml:space="preserve"> (-B42*2^15)+(C42*2^14)+(D42*2^13)+(E42*2^12)+(F42*2^11)+(G42*2^10)+(H42*2^9)+(I42*2^8)+(J42*2^7)+(K42*2^6)+(L42*2^5)+(M42*2^4)+(N42*2^3)+(O42*2^2)+(P42*2^1)+(Q42*2^0)</f>
        <v>3</v>
      </c>
      <c r="AA42" t="s">
        <v>18</v>
      </c>
      <c r="AC42" s="10" t="str">
        <f>"0x"&amp;DEC2HEX((B42*2^15)+(C42*2^14)+(D42*2^13)+(E42*2^12)+(F42*2^11)+(G42*2^10)+(H42*2^9)+(I42*2^8)+(J42*2^7)+(K42*2^6)+(L42*2^5)+(M42*2^4)+(N42*2^3)+(O42*2^2)+(P42*2^1)+(Q42*2^0),4)</f>
        <v>0x0003</v>
      </c>
      <c r="AD42" s="16"/>
    </row>
    <row r="43" spans="1:30">
      <c r="A43" t="s">
        <v>2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1</v>
      </c>
      <c r="P43" s="3">
        <v>0</v>
      </c>
      <c r="Q43" s="3">
        <v>0</v>
      </c>
      <c r="S43" s="6">
        <f t="shared" ref="S43" si="7" xml:space="preserve"> (-B43*2^15)+(C43*2^14)+(D43*2^13)+(E43*2^12)+(F43*2^11)+(G43*2^10)+(H43*2^9)+(I43*2^8)+(J43*2^7)+(K43*2^6)+(L43*2^5)+(M43*2^4)+(N43*2^3)+(O43*2^2)+(P43*2^1)+(Q43*2^0)</f>
        <v>4</v>
      </c>
      <c r="AA43" t="s">
        <v>22</v>
      </c>
      <c r="AC43" s="10" t="str">
        <f>"0x"&amp;DEC2HEX((B43*2^15)+(C43*2^14)+(D43*2^13)+(E43*2^12)+(F43*2^11)+(G43*2^10)+(H43*2^9)+(I43*2^8)+(J43*2^7)+(K43*2^6)+(L43*2^5)+(M43*2^4)+(N43*2^3)+(O43*2^2)+(P43*2^1)+(Q43*2^0),4)</f>
        <v>0x0004</v>
      </c>
      <c r="AD43" s="16"/>
    </row>
    <row r="44" spans="1:30">
      <c r="A44" t="s">
        <v>19</v>
      </c>
      <c r="B44" s="3">
        <v>1</v>
      </c>
      <c r="C44" s="3">
        <v>1</v>
      </c>
      <c r="D44" s="3">
        <v>1</v>
      </c>
      <c r="E44" s="3">
        <v>1</v>
      </c>
      <c r="F44" s="3">
        <v>1</v>
      </c>
      <c r="G44" s="3">
        <v>1</v>
      </c>
      <c r="H44" s="3">
        <v>1</v>
      </c>
      <c r="I44" s="3">
        <v>1</v>
      </c>
      <c r="J44" s="3">
        <v>1</v>
      </c>
      <c r="K44" s="3">
        <v>1</v>
      </c>
      <c r="L44" s="3">
        <v>1</v>
      </c>
      <c r="M44" s="3">
        <v>1</v>
      </c>
      <c r="N44" s="3">
        <v>1</v>
      </c>
      <c r="O44" s="3">
        <v>1</v>
      </c>
      <c r="P44" s="3">
        <v>1</v>
      </c>
      <c r="Q44" s="3">
        <v>1</v>
      </c>
      <c r="S44" s="6">
        <f xml:space="preserve"> (-B44*2^15)+(C44*2^14)+(D44*2^13)+(E44*2^12)+(F44*2^11)+(G44*2^10)+(H44*2^9)+(I44*2^8)+(J44*2^7)+(K44*2^6)+(L44*2^5)+(M44*2^4)+(N44*2^3)+(O44*2^2)+(P44*2^1)+(Q44*2^0)</f>
        <v>-1</v>
      </c>
      <c r="U44" s="3">
        <f>--(S44=0)</f>
        <v>0</v>
      </c>
      <c r="V44" s="3">
        <f>--(B44=1)</f>
        <v>1</v>
      </c>
      <c r="W44" s="3">
        <f>--OR(AND(B42=1,B43=0,B44=0),AND(B42=0,B43=1,B44=1))</f>
        <v>0</v>
      </c>
      <c r="X44" s="3">
        <f>--OR(AND(B42=0,B43=1),AND(B7=38,B44=1),AND(B44=1,B42=0))</f>
        <v>1</v>
      </c>
      <c r="Y44" s="3">
        <f>--OR(AND(V44=1,W44=0),AND(V44=0,W44=1))</f>
        <v>1</v>
      </c>
      <c r="AB44" s="8">
        <f>--(((B42*2^15)+(C42*2^14)+(D42*2^13)+(E42*2^12)+(F42*2^11)+(G42*2^10)+(H42*2^9)+(I42*2^8)+(J42*2^7)+(K42*2^6)+(L42*2^5)+(M42*2^4)+(N42*2^3)+(O42*2^2)+(P42*2^1)+(Q42*2^0))&lt;( (B43*2^15)+(C43*2^14)+(D43*2^13)+(E43*2^12)+(F43*2^11)+(G43*2^10)+(H43*2^9)+(I43*2^8)+(J43*2^7)+(K43*2^6)+(L43*2^5)+(M43*2^4)+(N43*2^3)+(O43*2^2)+(P43*2^1)+(Q43*2^0)))</f>
        <v>1</v>
      </c>
      <c r="AC44" s="10" t="str">
        <f>"0x"&amp;DEC2HEX((B44*2^15)+(C44*2^14)+(D44*2^13)+(E44*2^12)+(F44*2^11)+(G44*2^10)+(H44*2^9)+(I44*2^8)+(J44*2^7)+(K44*2^6)+(L44*2^5)+(M44*2^4)+(N44*2^3)+(O44*2^2)+(P44*2^1)+(Q44*2^0),4)</f>
        <v>0xFFFF</v>
      </c>
      <c r="AD44" s="16"/>
    </row>
    <row r="45" spans="1:30">
      <c r="AD45" s="16"/>
    </row>
    <row r="46" spans="1:30">
      <c r="A46" t="s">
        <v>1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1</v>
      </c>
      <c r="P46" s="3">
        <v>0</v>
      </c>
      <c r="Q46" s="3">
        <v>0</v>
      </c>
      <c r="S46" s="6">
        <f xml:space="preserve"> (-B46*2^15)+(C46*2^14)+(D46*2^13)+(E46*2^12)+(F46*2^11)+(G46*2^10)+(H46*2^9)+(I46*2^8)+(J46*2^7)+(K46*2^6)+(L46*2^5)+(M46*2^4)+(N46*2^3)+(O46*2^2)+(P46*2^1)+(Q46*2^0)</f>
        <v>4</v>
      </c>
      <c r="AA46" t="s">
        <v>18</v>
      </c>
      <c r="AC46" s="10" t="str">
        <f>"0x"&amp;DEC2HEX((B46*2^15)+(C46*2^14)+(D46*2^13)+(E46*2^12)+(F46*2^11)+(G46*2^10)+(H46*2^9)+(I46*2^8)+(J46*2^7)+(K46*2^6)+(L46*2^5)+(M46*2^4)+(N46*2^3)+(O46*2^2)+(P46*2^1)+(Q46*2^0),4)</f>
        <v>0x0004</v>
      </c>
      <c r="AD46" s="16"/>
    </row>
    <row r="47" spans="1:30">
      <c r="A47" t="s">
        <v>2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1</v>
      </c>
      <c r="P47" s="3">
        <v>0</v>
      </c>
      <c r="Q47" s="3">
        <v>0</v>
      </c>
      <c r="S47" s="6">
        <f t="shared" ref="S47" si="8" xml:space="preserve"> (-B47*2^15)+(C47*2^14)+(D47*2^13)+(E47*2^12)+(F47*2^11)+(G47*2^10)+(H47*2^9)+(I47*2^8)+(J47*2^7)+(K47*2^6)+(L47*2^5)+(M47*2^4)+(N47*2^3)+(O47*2^2)+(P47*2^1)+(Q47*2^0)</f>
        <v>4</v>
      </c>
      <c r="AA47" t="s">
        <v>24</v>
      </c>
      <c r="AC47" s="10" t="str">
        <f>"0x"&amp;DEC2HEX((B47*2^15)+(C47*2^14)+(D47*2^13)+(E47*2^12)+(F47*2^11)+(G47*2^10)+(H47*2^9)+(I47*2^8)+(J47*2^7)+(K47*2^6)+(L47*2^5)+(M47*2^4)+(N47*2^3)+(O47*2^2)+(P47*2^1)+(Q47*2^0),4)</f>
        <v>0x0004</v>
      </c>
      <c r="AD47" s="16"/>
    </row>
    <row r="48" spans="1:30">
      <c r="A48" t="s">
        <v>19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S48" s="6">
        <f xml:space="preserve"> (-B48*2^15)+(C48*2^14)+(D48*2^13)+(E48*2^12)+(F48*2^11)+(G48*2^10)+(H48*2^9)+(I48*2^8)+(J48*2^7)+(K48*2^6)+(L48*2^5)+(M48*2^4)+(N48*2^3)+(O48*2^2)+(P48*2^1)+(Q48*2^0)</f>
        <v>0</v>
      </c>
      <c r="U48" s="3">
        <f>--(S48=0)</f>
        <v>1</v>
      </c>
      <c r="V48" s="3">
        <f>--(B48=1)</f>
        <v>0</v>
      </c>
      <c r="W48" s="3">
        <f>--OR(AND(B46=1,B47=0,B48=0),AND(B46=0,B47=1,B48=1))</f>
        <v>0</v>
      </c>
      <c r="X48" s="3">
        <f>--OR(AND(B46=0,B47=1),AND(B11=38,B48=1),AND(B48=1,B46=0))</f>
        <v>0</v>
      </c>
      <c r="Y48" s="3">
        <f>--OR(AND(V48=1,W48=0),AND(V48=0,W48=1))</f>
        <v>0</v>
      </c>
      <c r="AB48" s="8">
        <f>--(((B46*2^15)+(C46*2^14)+(D46*2^13)+(E46*2^12)+(F46*2^11)+(G46*2^10)+(H46*2^9)+(I46*2^8)+(J46*2^7)+(K46*2^6)+(L46*2^5)+(M46*2^4)+(N46*2^3)+(O46*2^2)+(P46*2^1)+(Q46*2^0))&lt;( (B47*2^15)+(C47*2^14)+(D47*2^13)+(E47*2^12)+(F47*2^11)+(G47*2^10)+(H47*2^9)+(I47*2^8)+(J47*2^7)+(K47*2^6)+(L47*2^5)+(M47*2^4)+(N47*2^3)+(O47*2^2)+(P47*2^1)+(Q47*2^0)))</f>
        <v>0</v>
      </c>
      <c r="AC48" s="10" t="str">
        <f>"0x"&amp;DEC2HEX((B48*2^15)+(C48*2^14)+(D48*2^13)+(E48*2^12)+(F48*2^11)+(G48*2^10)+(H48*2^9)+(I48*2^8)+(J48*2^7)+(K48*2^6)+(L48*2^5)+(M48*2^4)+(N48*2^3)+(O48*2^2)+(P48*2^1)+(Q48*2^0),4)</f>
        <v>0x0000</v>
      </c>
      <c r="AD48" s="16"/>
    </row>
    <row r="49" spans="1:30">
      <c r="AD49" s="16"/>
    </row>
    <row r="50" spans="1:30">
      <c r="A50" t="s">
        <v>1</v>
      </c>
      <c r="B50" s="3">
        <v>1</v>
      </c>
      <c r="C50" s="3">
        <v>1</v>
      </c>
      <c r="D50" s="3">
        <v>1</v>
      </c>
      <c r="E50" s="3">
        <v>1</v>
      </c>
      <c r="F50" s="3">
        <v>1</v>
      </c>
      <c r="G50" s="3">
        <v>1</v>
      </c>
      <c r="H50" s="3">
        <v>1</v>
      </c>
      <c r="I50" s="3">
        <v>1</v>
      </c>
      <c r="J50" s="3">
        <v>1</v>
      </c>
      <c r="K50" s="3">
        <v>1</v>
      </c>
      <c r="L50" s="3">
        <v>1</v>
      </c>
      <c r="M50" s="3">
        <v>1</v>
      </c>
      <c r="N50" s="3">
        <v>1</v>
      </c>
      <c r="O50" s="3">
        <v>1</v>
      </c>
      <c r="P50" s="3">
        <v>1</v>
      </c>
      <c r="Q50" s="3">
        <v>1</v>
      </c>
      <c r="S50" s="6">
        <f xml:space="preserve"> (-B50*2^15)+(C50*2^14)+(D50*2^13)+(E50*2^12)+(F50*2^11)+(G50*2^10)+(H50*2^9)+(I50*2^8)+(J50*2^7)+(K50*2^6)+(L50*2^5)+(M50*2^4)+(N50*2^3)+(O50*2^2)+(P50*2^1)+(Q50*2^0)</f>
        <v>-1</v>
      </c>
      <c r="AC50" s="10" t="str">
        <f>"0x"&amp;DEC2HEX((B50*2^15)+(C50*2^14)+(D50*2^13)+(E50*2^12)+(F50*2^11)+(G50*2^10)+(H50*2^9)+(I50*2^8)+(J50*2^7)+(K50*2^6)+(L50*2^5)+(M50*2^4)+(N50*2^3)+(O50*2^2)+(P50*2^1)+(Q50*2^0),4)</f>
        <v>0xFFFF</v>
      </c>
      <c r="AD50" s="16"/>
    </row>
    <row r="51" spans="1:30">
      <c r="A51" t="s">
        <v>2</v>
      </c>
      <c r="B51" s="3">
        <v>0</v>
      </c>
      <c r="C51" s="3">
        <v>1</v>
      </c>
      <c r="D51" s="3">
        <v>1</v>
      </c>
      <c r="E51" s="3">
        <v>1</v>
      </c>
      <c r="F51" s="3">
        <v>1</v>
      </c>
      <c r="G51" s="3">
        <v>1</v>
      </c>
      <c r="H51" s="3">
        <v>1</v>
      </c>
      <c r="I51" s="3">
        <v>1</v>
      </c>
      <c r="J51" s="3">
        <v>1</v>
      </c>
      <c r="K51" s="3">
        <v>1</v>
      </c>
      <c r="L51" s="3">
        <v>1</v>
      </c>
      <c r="M51" s="3">
        <v>1</v>
      </c>
      <c r="N51" s="3">
        <v>1</v>
      </c>
      <c r="O51" s="3">
        <v>1</v>
      </c>
      <c r="P51" s="3">
        <v>1</v>
      </c>
      <c r="Q51" s="3">
        <v>1</v>
      </c>
      <c r="S51" s="6">
        <f t="shared" ref="S51" si="9" xml:space="preserve"> (-B51*2^15)+(C51*2^14)+(D51*2^13)+(E51*2^12)+(F51*2^11)+(G51*2^10)+(H51*2^9)+(I51*2^8)+(J51*2^7)+(K51*2^6)+(L51*2^5)+(M51*2^4)+(N51*2^3)+(O51*2^2)+(P51*2^1)+(Q51*2^0)</f>
        <v>32767</v>
      </c>
      <c r="AC51" s="10" t="str">
        <f>"0x"&amp;DEC2HEX((B51*2^15)+(C51*2^14)+(D51*2^13)+(E51*2^12)+(F51*2^11)+(G51*2^10)+(H51*2^9)+(I51*2^8)+(J51*2^7)+(K51*2^6)+(L51*2^5)+(M51*2^4)+(N51*2^3)+(O51*2^2)+(P51*2^1)+(Q51*2^0),4)</f>
        <v>0x7FFF</v>
      </c>
      <c r="AD51" s="16"/>
    </row>
    <row r="52" spans="1:30">
      <c r="A52" t="s">
        <v>19</v>
      </c>
      <c r="B52" s="3">
        <v>1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S52" s="6">
        <f xml:space="preserve"> (-B52*2^15)+(C52*2^14)+(D52*2^13)+(E52*2^12)+(F52*2^11)+(G52*2^10)+(H52*2^9)+(I52*2^8)+(J52*2^7)+(K52*2^6)+(L52*2^5)+(M52*2^4)+(N52*2^3)+(O52*2^2)+(P52*2^1)+(Q52*2^0)</f>
        <v>-32768</v>
      </c>
      <c r="U52" s="3">
        <f>--(S52=0)</f>
        <v>0</v>
      </c>
      <c r="V52" s="3">
        <f>--(B52=1)</f>
        <v>1</v>
      </c>
      <c r="W52" s="3">
        <f>--OR(AND(B50=1,B51=0,B52=0),AND(B50=0,B51=1,B52=1))</f>
        <v>0</v>
      </c>
      <c r="X52" s="3">
        <f>--OR(AND(B50=0,B51=1),AND(B15=38,B52=1),AND(B52=1,B50=0))</f>
        <v>0</v>
      </c>
      <c r="Y52" s="3">
        <f>--OR(AND(V52=1,W52=0),AND(V52=0,W52=1))</f>
        <v>1</v>
      </c>
      <c r="AB52" s="8">
        <f>--(((B50*2^15)+(C50*2^14)+(D50*2^13)+(E50*2^12)+(F50*2^11)+(G50*2^10)+(H50*2^9)+(I50*2^8)+(J50*2^7)+(K50*2^6)+(L50*2^5)+(M50*2^4)+(N50*2^3)+(O50*2^2)+(P50*2^1)+(Q50*2^0))&lt;( (B51*2^15)+(C51*2^14)+(D51*2^13)+(E51*2^12)+(F51*2^11)+(G51*2^10)+(H51*2^9)+(I51*2^8)+(J51*2^7)+(K51*2^6)+(L51*2^5)+(M51*2^4)+(N51*2^3)+(O51*2^2)+(P51*2^1)+(Q51*2^0)))</f>
        <v>0</v>
      </c>
      <c r="AC52" s="10" t="str">
        <f>"0x"&amp;DEC2HEX((B52*2^15)+(C52*2^14)+(D52*2^13)+(E52*2^12)+(F52*2^11)+(G52*2^10)+(H52*2^9)+(I52*2^8)+(J52*2^7)+(K52*2^6)+(L52*2^5)+(M52*2^4)+(N52*2^3)+(O52*2^2)+(P52*2^1)+(Q52*2^0),4)</f>
        <v>0x8000</v>
      </c>
      <c r="AD52" s="16"/>
    </row>
    <row r="53" spans="1:30">
      <c r="AD53" s="16"/>
    </row>
    <row r="54" spans="1:30">
      <c r="A54" t="s">
        <v>1</v>
      </c>
      <c r="B54" s="3">
        <v>1</v>
      </c>
      <c r="C54" s="3">
        <v>0</v>
      </c>
      <c r="D54" s="3">
        <v>1</v>
      </c>
      <c r="E54" s="3">
        <v>1</v>
      </c>
      <c r="F54" s="3">
        <v>1</v>
      </c>
      <c r="G54" s="3">
        <v>1</v>
      </c>
      <c r="H54" s="3">
        <v>1</v>
      </c>
      <c r="I54" s="3">
        <v>1</v>
      </c>
      <c r="J54" s="3">
        <v>1</v>
      </c>
      <c r="K54" s="3">
        <v>1</v>
      </c>
      <c r="L54" s="3">
        <v>1</v>
      </c>
      <c r="M54" s="3">
        <v>1</v>
      </c>
      <c r="N54" s="3">
        <v>1</v>
      </c>
      <c r="O54" s="3">
        <v>1</v>
      </c>
      <c r="P54" s="3">
        <v>1</v>
      </c>
      <c r="Q54" s="3">
        <v>1</v>
      </c>
      <c r="S54" s="6">
        <f xml:space="preserve"> (-B54*2^15)+(C54*2^14)+(D54*2^13)+(E54*2^12)+(F54*2^11)+(G54*2^10)+(H54*2^9)+(I54*2^8)+(J54*2^7)+(K54*2^6)+(L54*2^5)+(M54*2^4)+(N54*2^3)+(O54*2^2)+(P54*2^1)+(Q54*2^0)</f>
        <v>-16385</v>
      </c>
      <c r="AC54" s="10" t="str">
        <f>"0x"&amp;DEC2HEX((B54*2^15)+(C54*2^14)+(D54*2^13)+(E54*2^12)+(F54*2^11)+(G54*2^10)+(H54*2^9)+(I54*2^8)+(J54*2^7)+(K54*2^6)+(L54*2^5)+(M54*2^4)+(N54*2^3)+(O54*2^2)+(P54*2^1)+(Q54*2^0),4)</f>
        <v>0xBFFF</v>
      </c>
      <c r="AD54" s="16"/>
    </row>
    <row r="55" spans="1:30">
      <c r="A55" t="s">
        <v>2</v>
      </c>
      <c r="B55" s="3">
        <v>0</v>
      </c>
      <c r="C55" s="3">
        <v>1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S55" s="6">
        <f t="shared" ref="S55" si="10" xml:space="preserve"> (-B55*2^15)+(C55*2^14)+(D55*2^13)+(E55*2^12)+(F55*2^11)+(G55*2^10)+(H55*2^9)+(I55*2^8)+(J55*2^7)+(K55*2^6)+(L55*2^5)+(M55*2^4)+(N55*2^3)+(O55*2^2)+(P55*2^1)+(Q55*2^0)</f>
        <v>16384</v>
      </c>
      <c r="AC55" s="10" t="str">
        <f>"0x"&amp;DEC2HEX((B55*2^15)+(C55*2^14)+(D55*2^13)+(E55*2^12)+(F55*2^11)+(G55*2^10)+(H55*2^9)+(I55*2^8)+(J55*2^7)+(K55*2^6)+(L55*2^5)+(M55*2^4)+(N55*2^3)+(O55*2^2)+(P55*2^1)+(Q55*2^0),4)</f>
        <v>0x4000</v>
      </c>
      <c r="AD55" s="16"/>
    </row>
    <row r="56" spans="1:30">
      <c r="A56" t="s">
        <v>19</v>
      </c>
      <c r="B56" s="3">
        <v>0</v>
      </c>
      <c r="C56" s="3">
        <v>1</v>
      </c>
      <c r="D56" s="3">
        <v>1</v>
      </c>
      <c r="E56" s="3">
        <v>1</v>
      </c>
      <c r="F56" s="3">
        <v>1</v>
      </c>
      <c r="G56" s="3">
        <v>1</v>
      </c>
      <c r="H56" s="3">
        <v>1</v>
      </c>
      <c r="I56" s="3">
        <v>1</v>
      </c>
      <c r="J56" s="3">
        <v>1</v>
      </c>
      <c r="K56" s="3">
        <v>1</v>
      </c>
      <c r="L56" s="3">
        <v>1</v>
      </c>
      <c r="M56" s="3">
        <v>1</v>
      </c>
      <c r="N56" s="3">
        <v>1</v>
      </c>
      <c r="O56" s="3">
        <v>1</v>
      </c>
      <c r="P56" s="3">
        <v>1</v>
      </c>
      <c r="Q56" s="3">
        <v>1</v>
      </c>
      <c r="S56" s="6">
        <f xml:space="preserve"> (-B56*2^15)+(C56*2^14)+(D56*2^13)+(E56*2^12)+(F56*2^11)+(G56*2^10)+(H56*2^9)+(I56*2^8)+(J56*2^7)+(K56*2^6)+(L56*2^5)+(M56*2^4)+(N56*2^3)+(O56*2^2)+(P56*2^1)+(Q56*2^0)</f>
        <v>32767</v>
      </c>
      <c r="U56" s="3">
        <f>--(S56=0)</f>
        <v>0</v>
      </c>
      <c r="V56" s="3">
        <f>--(B56=1)</f>
        <v>0</v>
      </c>
      <c r="W56" s="3">
        <f>--OR(AND(B54=1,B55=0,B56=0),AND(B54=0,B55=1,B56=1))</f>
        <v>1</v>
      </c>
      <c r="X56" s="3">
        <f>--OR(AND(B54=0,B55=1),AND(B19=38,B56=1),AND(B56=1,B54=0))</f>
        <v>0</v>
      </c>
      <c r="Y56" s="3">
        <f>--OR(AND(V56=1,W56=0),AND(V56=0,W56=1))</f>
        <v>1</v>
      </c>
      <c r="AB56" s="8">
        <f>--(((B54*2^15)+(C54*2^14)+(D54*2^13)+(E54*2^12)+(F54*2^11)+(G54*2^10)+(H54*2^9)+(I54*2^8)+(J54*2^7)+(K54*2^6)+(L54*2^5)+(M54*2^4)+(N54*2^3)+(O54*2^2)+(P54*2^1)+(Q54*2^0))&lt;( (B55*2^15)+(C55*2^14)+(D55*2^13)+(E55*2^12)+(F55*2^11)+(G55*2^10)+(H55*2^9)+(I55*2^8)+(J55*2^7)+(K55*2^6)+(L55*2^5)+(M55*2^4)+(N55*2^3)+(O55*2^2)+(P55*2^1)+(Q55*2^0)))</f>
        <v>0</v>
      </c>
      <c r="AC56" s="10" t="str">
        <f>"0x"&amp;DEC2HEX((B56*2^15)+(C56*2^14)+(D56*2^13)+(E56*2^12)+(F56*2^11)+(G56*2^10)+(H56*2^9)+(I56*2^8)+(J56*2^7)+(K56*2^6)+(L56*2^5)+(M56*2^4)+(N56*2^3)+(O56*2^2)+(P56*2^1)+(Q56*2^0),4)</f>
        <v>0x7FFF</v>
      </c>
      <c r="AD56" s="16"/>
    </row>
  </sheetData>
  <conditionalFormatting sqref="S4">
    <cfRule type="expression" dxfId="13" priority="17">
      <formula>S4&lt;&gt;SUM(S2,S3)</formula>
    </cfRule>
  </conditionalFormatting>
  <conditionalFormatting sqref="S8">
    <cfRule type="expression" dxfId="12" priority="14">
      <formula>S8&lt;&gt;SUM(S6,S7)</formula>
    </cfRule>
  </conditionalFormatting>
  <conditionalFormatting sqref="S12">
    <cfRule type="expression" dxfId="11" priority="13">
      <formula>S12&lt;&gt;SUM(S10,S11)</formula>
    </cfRule>
  </conditionalFormatting>
  <conditionalFormatting sqref="S40">
    <cfRule type="expression" dxfId="10" priority="5">
      <formula>S40&lt;&gt;(S38-S39)</formula>
    </cfRule>
  </conditionalFormatting>
  <conditionalFormatting sqref="S16">
    <cfRule type="expression" dxfId="9" priority="11">
      <formula>S16&lt;&gt;SUM(S14,S15)</formula>
    </cfRule>
  </conditionalFormatting>
  <conditionalFormatting sqref="S20">
    <cfRule type="expression" dxfId="8" priority="10">
      <formula>S20&lt;&gt;SUM(S18,S19)</formula>
    </cfRule>
  </conditionalFormatting>
  <conditionalFormatting sqref="S24">
    <cfRule type="expression" dxfId="7" priority="9">
      <formula>S24&lt;&gt;SUM(S22,S23)</formula>
    </cfRule>
  </conditionalFormatting>
  <conditionalFormatting sqref="S28">
    <cfRule type="expression" dxfId="6" priority="8">
      <formula>S28&lt;&gt;SUM(S26,S27)</formula>
    </cfRule>
  </conditionalFormatting>
  <conditionalFormatting sqref="S32">
    <cfRule type="expression" dxfId="5" priority="7">
      <formula>S32&lt;&gt;SUM(S30,S31)</formula>
    </cfRule>
  </conditionalFormatting>
  <conditionalFormatting sqref="S36">
    <cfRule type="expression" dxfId="4" priority="6">
      <formula>S36&lt;&gt;SUM(S34,S35)</formula>
    </cfRule>
  </conditionalFormatting>
  <conditionalFormatting sqref="S44">
    <cfRule type="expression" dxfId="3" priority="4">
      <formula>S44&lt;&gt;(S42-S43)</formula>
    </cfRule>
  </conditionalFormatting>
  <conditionalFormatting sqref="S48">
    <cfRule type="expression" dxfId="2" priority="3">
      <formula>S48&lt;&gt;(S46-S47)</formula>
    </cfRule>
  </conditionalFormatting>
  <conditionalFormatting sqref="S52">
    <cfRule type="expression" dxfId="1" priority="2">
      <formula>S52&lt;&gt;(S50-S51)</formula>
    </cfRule>
  </conditionalFormatting>
  <conditionalFormatting sqref="S56">
    <cfRule type="expression" dxfId="0" priority="1">
      <formula>S56&lt;&gt;(S54-S55)</formula>
    </cfRule>
  </conditionalFormatting>
  <pageMargins left="0.7" right="0.7" top="0.75" bottom="0.75" header="0.3" footer="0.3"/>
  <pageSetup paperSize="9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2026-09-28T15:39:22Z</dcterms:modified>
</cp:coreProperties>
</file>